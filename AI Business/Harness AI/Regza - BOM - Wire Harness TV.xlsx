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itv\ai-business-development\"/>
    </mc:Choice>
  </mc:AlternateContent>
  <xr:revisionPtr revIDLastSave="0" documentId="13_ncr:1_{7E179C5F-8187-4FD1-AF7E-00B5C7B60C54}" xr6:coauthVersionLast="47" xr6:coauthVersionMax="47" xr10:uidLastSave="{00000000-0000-0000-0000-000000000000}"/>
  <bookViews>
    <workbookView xWindow="-108" yWindow="-108" windowWidth="23256" windowHeight="12456" xr2:uid="{D38AD97E-5C8A-4C1F-BF06-6E214507E863}"/>
  </bookViews>
  <sheets>
    <sheet name="BOM-Harness" sheetId="1" r:id="rId1"/>
  </sheets>
  <definedNames>
    <definedName name="_xlnm._FilterDatabase" localSheetId="0" hidden="1">'BOM-Harness'!$A$2:$L$24</definedName>
    <definedName name="_xlnm.Print_Area" localSheetId="0">'BOM-Harness'!$A$1:$M$25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" l="1"/>
  <c r="J23" i="1"/>
  <c r="J22" i="1"/>
  <c r="J21" i="1"/>
  <c r="J20" i="1"/>
  <c r="I19" i="1"/>
  <c r="I18" i="1"/>
  <c r="J17" i="1"/>
  <c r="J16" i="1"/>
  <c r="J15" i="1"/>
  <c r="J14" i="1"/>
  <c r="I13" i="1"/>
  <c r="J12" i="1"/>
  <c r="I11" i="1"/>
  <c r="J10" i="1"/>
  <c r="J9" i="1"/>
  <c r="J8" i="1"/>
  <c r="J7" i="1"/>
  <c r="J6" i="1"/>
  <c r="J5" i="1"/>
  <c r="J4" i="1"/>
  <c r="J3" i="1"/>
  <c r="J18" i="1" l="1"/>
  <c r="J19" i="1"/>
  <c r="J11" i="1"/>
  <c r="J13" i="1"/>
  <c r="J25" i="1" l="1"/>
</calcChain>
</file>

<file path=xl/sharedStrings.xml><?xml version="1.0" encoding="utf-8"?>
<sst xmlns="http://schemas.openxmlformats.org/spreadsheetml/2006/main" count="172" uniqueCount="82">
  <si>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</si>
  <si>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</si>
  <si>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</si>
  <si>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</si>
  <si>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</si>
  <si>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</si>
  <si>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</si>
  <si>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</si>
  <si>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</si>
  <si>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</si>
  <si>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NO</t>
  </si>
  <si>
    <t>Component Datasheet</t>
  </si>
  <si>
    <t>MATERIAL No</t>
  </si>
  <si>
    <t>No.</t>
  </si>
  <si>
    <t>PART NAME</t>
  </si>
  <si>
    <t>PART No</t>
  </si>
  <si>
    <t>SPEC</t>
  </si>
  <si>
    <t>Q'TY</t>
  </si>
  <si>
    <t>Unit</t>
  </si>
  <si>
    <t>MAKER</t>
  </si>
  <si>
    <t>Vender</t>
  </si>
  <si>
    <t>10808498</t>
  </si>
  <si>
    <t>-</t>
  </si>
  <si>
    <t>HY-4Y-2Y-225-2H-1</t>
  </si>
  <si>
    <t>HOUSING</t>
  </si>
  <si>
    <r>
      <t>HY-4Y</t>
    </r>
    <r>
      <rPr>
        <sz val="11"/>
        <rFont val="Calibri"/>
        <family val="2"/>
        <scheme val="minor"/>
      </rPr>
      <t xml:space="preserve"> White</t>
    </r>
  </si>
  <si>
    <t>ea</t>
  </si>
  <si>
    <r>
      <t xml:space="preserve">HUAHONG; </t>
    </r>
    <r>
      <rPr>
        <sz val="11"/>
        <color rgb="FFFF0000"/>
        <rFont val="Calibri"/>
        <family val="2"/>
        <scheme val="minor"/>
      </rPr>
      <t>XJ.XFE</t>
    </r>
    <r>
      <rPr>
        <sz val="11"/>
        <color theme="1"/>
        <rFont val="Calibri"/>
        <family val="2"/>
        <scheme val="minor"/>
      </rPr>
      <t xml:space="preserve"> , SJKH</t>
    </r>
  </si>
  <si>
    <t>Zhejiang</t>
  </si>
  <si>
    <t>HY-2Y White</t>
  </si>
  <si>
    <t>TERMINAL</t>
  </si>
  <si>
    <t>HY-T</t>
  </si>
  <si>
    <t>WIRE</t>
  </si>
  <si>
    <r>
      <rPr>
        <sz val="11"/>
        <rFont val="Calibri"/>
        <family val="2"/>
        <scheme val="minor"/>
      </rPr>
      <t xml:space="preserve">#24AWG (11/0.16) </t>
    </r>
    <r>
      <rPr>
        <b/>
        <sz val="11"/>
        <color rgb="FFFF0000"/>
        <rFont val="Calibri"/>
        <family val="2"/>
        <scheme val="minor"/>
      </rPr>
      <t>TS/2C</t>
    </r>
    <r>
      <rPr>
        <sz val="11"/>
        <color theme="1"/>
        <rFont val="Calibri"/>
        <family val="2"/>
        <scheme val="minor"/>
      </rPr>
      <t xml:space="preserve"> Red / White</t>
    </r>
  </si>
  <si>
    <t>MT</t>
  </si>
  <si>
    <t>XINYA (E170689), SJKH</t>
  </si>
  <si>
    <t>J-HOSIN VN</t>
  </si>
  <si>
    <r>
      <rPr>
        <sz val="11"/>
        <rFont val="Calibri"/>
        <family val="2"/>
        <scheme val="minor"/>
      </rPr>
      <t>#24AWG (11/0.16)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TS/2C</t>
    </r>
    <r>
      <rPr>
        <sz val="11"/>
        <color theme="1"/>
        <rFont val="Calibri"/>
        <family val="2"/>
        <scheme val="minor"/>
      </rPr>
      <t xml:space="preserve"> White / Black</t>
    </r>
  </si>
  <si>
    <t>J-HOSIN VN</t>
    <phoneticPr fontId="0" type="noConversion"/>
  </si>
  <si>
    <t>11251570</t>
  </si>
  <si>
    <t>GHX-11Y-10Y-260-H-1\ROH</t>
  </si>
  <si>
    <r>
      <t>GHX-10Y</t>
    </r>
    <r>
      <rPr>
        <sz val="11"/>
        <rFont val="Calibri"/>
        <family val="2"/>
        <scheme val="minor"/>
      </rPr>
      <t xml:space="preserve"> White</t>
    </r>
  </si>
  <si>
    <r>
      <rPr>
        <sz val="11"/>
        <rFont val="Calibri"/>
        <family val="2"/>
        <scheme val="minor"/>
      </rPr>
      <t>LWE; AMA; SH ;</t>
    </r>
    <r>
      <rPr>
        <sz val="11"/>
        <color rgb="FFFF0000"/>
        <rFont val="Calibri"/>
        <family val="2"/>
        <scheme val="minor"/>
      </rPr>
      <t xml:space="preserve">
XJ.XFE , </t>
    </r>
    <r>
      <rPr>
        <sz val="11"/>
        <rFont val="Calibri"/>
        <family val="2"/>
        <scheme val="minor"/>
      </rPr>
      <t>SJKH</t>
    </r>
  </si>
  <si>
    <t>GHX-T</t>
  </si>
  <si>
    <r>
      <rPr>
        <sz val="11"/>
        <rFont val="Calibri"/>
        <family val="2"/>
        <scheme val="minor"/>
      </rPr>
      <t>W; A; SH ;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XJ.XFE </t>
    </r>
    <r>
      <rPr>
        <sz val="11"/>
        <color theme="1"/>
        <rFont val="Calibri"/>
        <family val="2"/>
        <scheme val="minor"/>
      </rPr>
      <t>, SJKH</t>
    </r>
  </si>
  <si>
    <t>GHX-11Y White</t>
  </si>
  <si>
    <t xml:space="preserve">FLAT CABLE </t>
  </si>
  <si>
    <r>
      <t xml:space="preserve">#28AWG (7/0.127) </t>
    </r>
    <r>
      <rPr>
        <b/>
        <sz val="11"/>
        <color rgb="FFFF0000"/>
        <rFont val="Calibri"/>
        <family val="2"/>
        <scheme val="minor"/>
      </rPr>
      <t xml:space="preserve">10C </t>
    </r>
    <r>
      <rPr>
        <sz val="11"/>
        <color theme="1"/>
        <rFont val="Calibri"/>
        <family val="2"/>
        <scheme val="minor"/>
      </rPr>
      <t>Gray</t>
    </r>
  </si>
  <si>
    <t>XINYA (E170689), HONGMENG (E315421),
LINOYA (E315619), XINXIN (E225383 ), SJKH</t>
  </si>
  <si>
    <t>TAPE</t>
  </si>
  <si>
    <t>41-06200990</t>
  </si>
  <si>
    <t>W: 20*30mm; Black</t>
  </si>
  <si>
    <t>SJKH</t>
  </si>
  <si>
    <t>Xinhua</t>
  </si>
  <si>
    <t>12767445</t>
  </si>
  <si>
    <t>HR-2Y-HY-2Y-175-H\ROH</t>
  </si>
  <si>
    <r>
      <t xml:space="preserve">#24AWG (11/0.16) </t>
    </r>
    <r>
      <rPr>
        <b/>
        <sz val="11"/>
        <color rgb="FFFF0000"/>
        <rFont val="Calibri"/>
        <family val="2"/>
        <scheme val="minor"/>
      </rPr>
      <t>TS/2C</t>
    </r>
    <r>
      <rPr>
        <sz val="11"/>
        <color theme="1"/>
        <rFont val="Calibri"/>
        <family val="2"/>
        <scheme val="minor"/>
      </rPr>
      <t xml:space="preserve"> Gray / Black</t>
    </r>
  </si>
  <si>
    <t>YUTONG (YT-C-GC-3389) (E301048) , SJKH</t>
  </si>
  <si>
    <t>2008-T</t>
  </si>
  <si>
    <t>PA , SJKH</t>
  </si>
  <si>
    <t>2008-2Y White</t>
  </si>
  <si>
    <t>TJC3-T</t>
  </si>
  <si>
    <t>PA; AMA; SJKH</t>
  </si>
  <si>
    <r>
      <t>TJC3B-2Y</t>
    </r>
    <r>
      <rPr>
        <sz val="11"/>
        <rFont val="Calibri"/>
        <family val="2"/>
        <scheme val="minor"/>
      </rPr>
      <t xml:space="preserve"> Black</t>
    </r>
  </si>
  <si>
    <t>12753350</t>
  </si>
  <si>
    <t>HY-3Y-1007G-3Y-65-X/ROH</t>
  </si>
  <si>
    <t>2308A28097</t>
  </si>
  <si>
    <t>#28AWG (7/0.127) White</t>
  </si>
  <si>
    <t>YUTONG (YT-C-GC-Y4514) (E301048) , SJKH</t>
  </si>
  <si>
    <t>GT WIRE</t>
    <phoneticPr fontId="0" type="noConversion"/>
  </si>
  <si>
    <t>2308A28099</t>
  </si>
  <si>
    <t>#28AWG (7/0.127) Red</t>
  </si>
  <si>
    <r>
      <t>2008-3Y</t>
    </r>
    <r>
      <rPr>
        <sz val="11"/>
        <rFont val="Calibri"/>
        <family val="2"/>
        <scheme val="minor"/>
      </rPr>
      <t xml:space="preserve"> White</t>
    </r>
  </si>
  <si>
    <t>1007-T</t>
  </si>
  <si>
    <t>PA; KL , SJKH</t>
  </si>
  <si>
    <r>
      <t>1007-3Y</t>
    </r>
    <r>
      <rPr>
        <sz val="11"/>
        <rFont val="Calibri"/>
        <family val="2"/>
        <scheme val="minor"/>
      </rPr>
      <t xml:space="preserve"> White</t>
    </r>
  </si>
  <si>
    <t>LABEL</t>
  </si>
  <si>
    <t>W=6mm, L=20mm; White</t>
  </si>
  <si>
    <t>LAINXIN, SJKH</t>
  </si>
  <si>
    <t>Ngan Ha</t>
  </si>
  <si>
    <t>HISENSE 
MODEL</t>
  </si>
  <si>
    <t>Demand 
/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</si>
</sst>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_-;\-* #,##0_-;_-* &quot;-&quot;??_-;_-@_-"/>
    <numFmt numFmtId="166" formatCode="#,##0.000_ ;\-#,##0.000\ "/>
    <numFmt numFmtId="167" formatCode="_-* #,##0.0_-;\-* #,##0.0_-;_-* &quot;-&quot;??_-;_-@_-"/>
    <numFmt numFmtId="168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1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8" fillId="2" borderId="1" xfId="4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66" fontId="8" fillId="2" borderId="1" xfId="5" applyNumberFormat="1" applyFont="1" applyFill="1" applyBorder="1" applyAlignment="1">
      <alignment horizontal="center" vertical="center"/>
    </xf>
    <xf numFmtId="166" fontId="8" fillId="2" borderId="1" xfId="5" applyNumberFormat="1" applyFont="1" applyFill="1" applyBorder="1" applyAlignment="1">
      <alignment horizontal="center" vertical="center" wrapText="1"/>
    </xf>
    <xf numFmtId="0" fontId="10" fillId="2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shrinkToFit="1"/>
    </xf>
    <xf numFmtId="0" fontId="11" fillId="3" borderId="1" xfId="4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2" applyBorder="1" applyAlignment="1">
      <alignment vertical="center"/>
    </xf>
    <xf numFmtId="165" fontId="0" fillId="0" borderId="1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shrinkToFit="1"/>
    </xf>
    <xf numFmtId="167" fontId="0" fillId="4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8" fontId="0" fillId="4" borderId="1" xfId="0" applyNumberForma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4" xfId="0" applyBorder="1" applyAlignment="1">
      <alignment vertical="center"/>
    </xf>
    <xf numFmtId="168" fontId="0" fillId="0" borderId="1" xfId="0" applyNumberForma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3" fillId="2" borderId="0" xfId="1" applyNumberFormat="1" applyFont="1" applyFill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6" fillId="0" borderId="0" xfId="3" quotePrefix="1" applyFont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</cellXfs>
  <cellStyles count="6">
    <cellStyle name="Comma" xfId="1" builtinId="3"/>
    <cellStyle name="Comma 4 3" xfId="5" xr:uid="{6BFC2C86-BC37-413A-BCF1-ACD0C19B327E}"/>
    <cellStyle name="Hyperlink" xfId="2" builtinId="8"/>
    <cellStyle name="Normal" xfId="0" builtinId="0"/>
    <cellStyle name="Normal 3" xfId="3" xr:uid="{45DD7243-912E-4F7D-8C52-83976E2571DE}"/>
    <cellStyle name="Normal 4" xfId="4" xr:uid="{10A3929F-6EBC-414B-97DB-0A849352AA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elec.com/board-to-wire-connectors-1007-product/" TargetMode="External"/><Relationship Id="rId2" Type="http://schemas.openxmlformats.org/officeDocument/2006/relationships/hyperlink" Target="http://www.cnliwen.com/en/product/?245_311.html" TargetMode="External"/><Relationship Id="rId1" Type="http://schemas.openxmlformats.org/officeDocument/2006/relationships/hyperlink" Target="http://china-huahong.com/products-dt?product_id=162&amp;_l=e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amaelec.com/tjc3b-2-50mm-pitch-wire-to-board-connector-product/" TargetMode="External"/><Relationship Id="rId4" Type="http://schemas.openxmlformats.org/officeDocument/2006/relationships/hyperlink" Target="https://www.amaelec.com/2008-2mm-pitch-wire-to-board-connector-produc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2251-3C3F-49B7-A35B-C3D22368BA36}">
  <sheetPr>
    <pageSetUpPr fitToPage="1"/>
  </sheetPr>
  <dimension ref="A1:M31"/>
  <sheetViews>
    <sheetView tabSelected="1" zoomScale="70" zoomScaleNormal="70" workbookViewId="0">
      <selection activeCell="P5" sqref="P5"/>
    </sheetView>
  </sheetViews>
  <sheetFormatPr defaultRowHeight="16.2"/>
  <cols>
    <col min="1" max="1" width="4.5546875" style="1" customWidth="1"/>
    <col min="2" max="2" width="11.21875" style="1" customWidth="1"/>
    <col min="3" max="3" width="10.6640625" style="1" customWidth="1"/>
    <col min="4" max="4" width="26" style="2" customWidth="1"/>
    <col min="5" max="5" width="4.44140625" style="1" bestFit="1" customWidth="1"/>
    <col min="6" max="6" width="11.77734375" customWidth="1"/>
    <col min="7" max="7" width="12.77734375" style="1" customWidth="1"/>
    <col min="8" max="8" width="34.109375" customWidth="1"/>
    <col min="9" max="9" width="8.44140625" style="1" customWidth="1"/>
    <col min="10" max="10" width="10.88671875" style="1" customWidth="1"/>
    <col min="11" max="11" width="4.5546875" style="1" customWidth="1"/>
    <col min="12" max="12" width="24.6640625" customWidth="1"/>
    <col min="13" max="13" width="11.88671875" customWidth="1"/>
  </cols>
  <sheetData>
    <row r="1" spans="1:13" ht="15" customHeight="1">
      <c r="D1" s="45" t="s">
        <v>0</v>
      </c>
      <c r="E1" s="45" t="s">
        <v>1</v>
      </c>
      <c r="F1" s="45" t="s">
        <v>2</v>
      </c>
      <c r="G1" s="45" t="s">
        <v>3</v>
      </c>
      <c r="H1" s="45" t="s">
        <v>4</v>
      </c>
      <c r="I1" s="45" t="s">
        <v>5</v>
      </c>
      <c r="J1" s="45" t="s">
        <v>6</v>
      </c>
      <c r="K1" s="45" t="s">
        <v>7</v>
      </c>
      <c r="L1" s="45" t="s">
        <v>8</v>
      </c>
      <c r="M1" s="45" t="s">
        <v>9</v>
      </c>
    </row>
    <row r="2" spans="1:13" s="10" customFormat="1" ht="63.6" customHeight="1">
      <c r="A2" s="3" t="s">
        <v>10</v>
      </c>
      <c r="B2" s="4" t="s">
        <v>11</v>
      </c>
      <c r="C2" s="4" t="s">
        <v>12</v>
      </c>
      <c r="D2" s="46" t="s">
        <v>80</v>
      </c>
      <c r="E2" s="3" t="s">
        <v>13</v>
      </c>
      <c r="F2" s="3" t="s">
        <v>14</v>
      </c>
      <c r="G2" s="3" t="s">
        <v>15</v>
      </c>
      <c r="H2" s="3" t="s">
        <v>16</v>
      </c>
      <c r="I2" s="5" t="s">
        <v>17</v>
      </c>
      <c r="J2" s="6" t="s">
        <v>81</v>
      </c>
      <c r="K2" s="7" t="s">
        <v>18</v>
      </c>
      <c r="L2" s="8" t="s">
        <v>19</v>
      </c>
      <c r="M2" s="9" t="s">
        <v>20</v>
      </c>
    </row>
    <row r="3" spans="1:13" s="13" customFormat="1" ht="25.05" customHeight="1">
      <c r="A3" s="11">
        <v>1</v>
      </c>
      <c r="B3" s="12" t="s">
        <v>21</v>
      </c>
      <c r="C3" s="12" t="s">
        <v>22</v>
      </c>
      <c r="D3" s="13" t="s">
        <v>23</v>
      </c>
      <c r="E3" s="14">
        <v>1</v>
      </c>
      <c r="F3" s="15" t="s">
        <v>24</v>
      </c>
      <c r="G3" s="14" t="s">
        <v>22</v>
      </c>
      <c r="H3" s="16" t="s">
        <v>25</v>
      </c>
      <c r="I3" s="14">
        <v>1</v>
      </c>
      <c r="J3" s="17">
        <f t="shared" ref="J3:J24" si="0">I3*12500</f>
        <v>12500</v>
      </c>
      <c r="K3" s="14" t="s">
        <v>26</v>
      </c>
      <c r="L3" s="15" t="s">
        <v>27</v>
      </c>
      <c r="M3" s="18" t="s">
        <v>28</v>
      </c>
    </row>
    <row r="4" spans="1:13" s="13" customFormat="1" ht="25.05" customHeight="1">
      <c r="A4" s="19"/>
      <c r="B4" s="20"/>
      <c r="C4" s="20"/>
      <c r="D4" s="21" t="s">
        <v>23</v>
      </c>
      <c r="E4" s="14">
        <v>2</v>
      </c>
      <c r="F4" s="15" t="s">
        <v>24</v>
      </c>
      <c r="G4" s="14" t="s">
        <v>22</v>
      </c>
      <c r="H4" s="15" t="s">
        <v>29</v>
      </c>
      <c r="I4" s="14">
        <v>2</v>
      </c>
      <c r="J4" s="17">
        <f t="shared" si="0"/>
        <v>25000</v>
      </c>
      <c r="K4" s="14" t="s">
        <v>26</v>
      </c>
      <c r="L4" s="15" t="s">
        <v>27</v>
      </c>
      <c r="M4" s="18" t="s">
        <v>28</v>
      </c>
    </row>
    <row r="5" spans="1:13" s="13" customFormat="1" ht="25.05" customHeight="1">
      <c r="A5" s="19"/>
      <c r="B5" s="20"/>
      <c r="C5" s="20"/>
      <c r="D5" s="21" t="s">
        <v>23</v>
      </c>
      <c r="E5" s="14">
        <v>3</v>
      </c>
      <c r="F5" s="15" t="s">
        <v>30</v>
      </c>
      <c r="G5" s="14" t="s">
        <v>22</v>
      </c>
      <c r="H5" s="15" t="s">
        <v>31</v>
      </c>
      <c r="I5" s="14">
        <v>8</v>
      </c>
      <c r="J5" s="17">
        <f t="shared" si="0"/>
        <v>100000</v>
      </c>
      <c r="K5" s="14" t="s">
        <v>26</v>
      </c>
      <c r="L5" s="15" t="s">
        <v>27</v>
      </c>
      <c r="M5" s="18" t="s">
        <v>28</v>
      </c>
    </row>
    <row r="6" spans="1:13" s="13" customFormat="1" ht="25.05" customHeight="1">
      <c r="A6" s="19"/>
      <c r="B6" s="20"/>
      <c r="C6" s="20"/>
      <c r="D6" s="21" t="s">
        <v>23</v>
      </c>
      <c r="E6" s="22">
        <v>4</v>
      </c>
      <c r="F6" s="23" t="s">
        <v>32</v>
      </c>
      <c r="G6" s="24" t="s">
        <v>22</v>
      </c>
      <c r="H6" s="25" t="s">
        <v>33</v>
      </c>
      <c r="I6" s="22">
        <v>0.16200000000000001</v>
      </c>
      <c r="J6" s="26">
        <f t="shared" si="0"/>
        <v>2025</v>
      </c>
      <c r="K6" s="24" t="s">
        <v>34</v>
      </c>
      <c r="L6" s="27" t="s">
        <v>35</v>
      </c>
      <c r="M6" s="28" t="s">
        <v>36</v>
      </c>
    </row>
    <row r="7" spans="1:13" s="13" customFormat="1" ht="25.05" customHeight="1">
      <c r="A7" s="19"/>
      <c r="B7" s="20"/>
      <c r="C7" s="20"/>
      <c r="D7" s="29" t="s">
        <v>23</v>
      </c>
      <c r="E7" s="22">
        <v>5</v>
      </c>
      <c r="F7" s="23" t="s">
        <v>32</v>
      </c>
      <c r="G7" s="24" t="s">
        <v>22</v>
      </c>
      <c r="H7" s="25" t="s">
        <v>37</v>
      </c>
      <c r="I7" s="22">
        <v>0.23699999999999999</v>
      </c>
      <c r="J7" s="26">
        <f t="shared" si="0"/>
        <v>2962.5</v>
      </c>
      <c r="K7" s="24" t="s">
        <v>34</v>
      </c>
      <c r="L7" s="27" t="s">
        <v>35</v>
      </c>
      <c r="M7" s="28" t="s">
        <v>38</v>
      </c>
    </row>
    <row r="8" spans="1:13" s="13" customFormat="1" ht="33" customHeight="1">
      <c r="A8" s="11">
        <v>2</v>
      </c>
      <c r="B8" s="12" t="s">
        <v>39</v>
      </c>
      <c r="C8" s="12">
        <v>1250012</v>
      </c>
      <c r="D8" s="13" t="s">
        <v>40</v>
      </c>
      <c r="E8" s="14">
        <v>1</v>
      </c>
      <c r="F8" s="15" t="s">
        <v>24</v>
      </c>
      <c r="G8" s="14" t="s">
        <v>22</v>
      </c>
      <c r="H8" s="16" t="s">
        <v>41</v>
      </c>
      <c r="I8" s="14">
        <v>1</v>
      </c>
      <c r="J8" s="17">
        <f t="shared" si="0"/>
        <v>12500</v>
      </c>
      <c r="K8" s="14" t="s">
        <v>26</v>
      </c>
      <c r="L8" s="30" t="s">
        <v>42</v>
      </c>
      <c r="M8" s="18" t="s">
        <v>28</v>
      </c>
    </row>
    <row r="9" spans="1:13" s="13" customFormat="1" ht="33" customHeight="1">
      <c r="A9" s="19"/>
      <c r="B9" s="20"/>
      <c r="C9" s="20"/>
      <c r="D9" s="13" t="s">
        <v>40</v>
      </c>
      <c r="E9" s="14">
        <v>2</v>
      </c>
      <c r="F9" s="15" t="s">
        <v>30</v>
      </c>
      <c r="G9" s="14" t="s">
        <v>22</v>
      </c>
      <c r="H9" s="15" t="s">
        <v>43</v>
      </c>
      <c r="I9" s="14">
        <v>20</v>
      </c>
      <c r="J9" s="17">
        <f t="shared" si="0"/>
        <v>250000</v>
      </c>
      <c r="K9" s="14" t="s">
        <v>26</v>
      </c>
      <c r="L9" s="31" t="s">
        <v>44</v>
      </c>
      <c r="M9" s="18" t="s">
        <v>28</v>
      </c>
    </row>
    <row r="10" spans="1:13" s="13" customFormat="1" ht="33" customHeight="1">
      <c r="A10" s="19"/>
      <c r="B10" s="20"/>
      <c r="C10" s="20"/>
      <c r="D10" s="13" t="s">
        <v>40</v>
      </c>
      <c r="E10" s="14">
        <v>3</v>
      </c>
      <c r="F10" s="15" t="s">
        <v>24</v>
      </c>
      <c r="G10" s="14" t="s">
        <v>22</v>
      </c>
      <c r="H10" s="15" t="s">
        <v>45</v>
      </c>
      <c r="I10" s="14">
        <v>1</v>
      </c>
      <c r="J10" s="17">
        <f t="shared" si="0"/>
        <v>12500</v>
      </c>
      <c r="K10" s="14" t="s">
        <v>26</v>
      </c>
      <c r="L10" s="30" t="s">
        <v>42</v>
      </c>
      <c r="M10" s="18" t="s">
        <v>28</v>
      </c>
    </row>
    <row r="11" spans="1:13" s="13" customFormat="1" ht="63.6" customHeight="1">
      <c r="A11" s="19"/>
      <c r="B11" s="20"/>
      <c r="C11" s="20"/>
      <c r="D11" s="13" t="s">
        <v>40</v>
      </c>
      <c r="E11" s="24">
        <v>4</v>
      </c>
      <c r="F11" s="27" t="s">
        <v>46</v>
      </c>
      <c r="G11" s="24" t="s">
        <v>22</v>
      </c>
      <c r="H11" s="27" t="s">
        <v>47</v>
      </c>
      <c r="I11" s="32">
        <f>0.015+0.005+0.02+0.005+0.245+0.005+0.005</f>
        <v>0.3</v>
      </c>
      <c r="J11" s="26">
        <f t="shared" si="0"/>
        <v>3750</v>
      </c>
      <c r="K11" s="24" t="s">
        <v>34</v>
      </c>
      <c r="L11" s="33" t="s">
        <v>48</v>
      </c>
      <c r="M11" s="28" t="s">
        <v>38</v>
      </c>
    </row>
    <row r="12" spans="1:13" s="13" customFormat="1" ht="25.05" customHeight="1">
      <c r="A12" s="34"/>
      <c r="B12" s="35"/>
      <c r="C12" s="35"/>
      <c r="D12" s="36" t="s">
        <v>40</v>
      </c>
      <c r="E12" s="14">
        <v>5</v>
      </c>
      <c r="F12" s="15" t="s">
        <v>49</v>
      </c>
      <c r="G12" s="14" t="s">
        <v>50</v>
      </c>
      <c r="H12" s="15" t="s">
        <v>51</v>
      </c>
      <c r="I12" s="37">
        <v>0.03</v>
      </c>
      <c r="J12" s="38">
        <f t="shared" si="0"/>
        <v>375</v>
      </c>
      <c r="K12" s="14" t="s">
        <v>34</v>
      </c>
      <c r="L12" s="15" t="s">
        <v>52</v>
      </c>
      <c r="M12" s="39" t="s">
        <v>53</v>
      </c>
    </row>
    <row r="13" spans="1:13" s="13" customFormat="1" ht="25.05" customHeight="1">
      <c r="A13" s="11">
        <v>3</v>
      </c>
      <c r="B13" s="12" t="s">
        <v>54</v>
      </c>
      <c r="C13" s="12">
        <v>1410907</v>
      </c>
      <c r="D13" s="13" t="s">
        <v>55</v>
      </c>
      <c r="E13" s="24">
        <v>1</v>
      </c>
      <c r="F13" s="27" t="s">
        <v>32</v>
      </c>
      <c r="G13" s="24">
        <v>2306824136</v>
      </c>
      <c r="H13" s="27" t="s">
        <v>56</v>
      </c>
      <c r="I13" s="24">
        <f>0.19+0.002</f>
        <v>0.192</v>
      </c>
      <c r="J13" s="26">
        <f t="shared" si="0"/>
        <v>2400</v>
      </c>
      <c r="K13" s="24" t="s">
        <v>34</v>
      </c>
      <c r="L13" s="27" t="s">
        <v>57</v>
      </c>
      <c r="M13" s="28" t="s">
        <v>38</v>
      </c>
    </row>
    <row r="14" spans="1:13" s="13" customFormat="1" ht="25.05" customHeight="1">
      <c r="A14" s="19"/>
      <c r="B14" s="20"/>
      <c r="C14" s="20"/>
      <c r="D14" s="13" t="s">
        <v>55</v>
      </c>
      <c r="E14" s="14">
        <v>2</v>
      </c>
      <c r="F14" s="15" t="s">
        <v>30</v>
      </c>
      <c r="G14" s="14">
        <v>322080</v>
      </c>
      <c r="H14" s="15" t="s">
        <v>58</v>
      </c>
      <c r="I14" s="14">
        <v>2</v>
      </c>
      <c r="J14" s="17">
        <f t="shared" si="0"/>
        <v>25000</v>
      </c>
      <c r="K14" s="14" t="s">
        <v>26</v>
      </c>
      <c r="L14" s="15" t="s">
        <v>59</v>
      </c>
      <c r="M14" s="18" t="s">
        <v>28</v>
      </c>
    </row>
    <row r="15" spans="1:13" s="13" customFormat="1" ht="25.05" customHeight="1">
      <c r="A15" s="19"/>
      <c r="B15" s="20"/>
      <c r="C15" s="20"/>
      <c r="D15" s="13" t="s">
        <v>55</v>
      </c>
      <c r="E15" s="14">
        <v>3</v>
      </c>
      <c r="F15" s="15" t="s">
        <v>24</v>
      </c>
      <c r="G15" s="14">
        <v>320022</v>
      </c>
      <c r="H15" t="s">
        <v>60</v>
      </c>
      <c r="I15" s="14">
        <v>1</v>
      </c>
      <c r="J15" s="17">
        <f t="shared" si="0"/>
        <v>12500</v>
      </c>
      <c r="K15" s="14" t="s">
        <v>26</v>
      </c>
      <c r="L15" s="15" t="s">
        <v>59</v>
      </c>
      <c r="M15" s="18" t="s">
        <v>28</v>
      </c>
    </row>
    <row r="16" spans="1:13" s="13" customFormat="1" ht="25.05" customHeight="1">
      <c r="A16" s="19"/>
      <c r="B16" s="20"/>
      <c r="C16" s="20"/>
      <c r="D16" s="13" t="s">
        <v>55</v>
      </c>
      <c r="E16" s="14">
        <v>4</v>
      </c>
      <c r="F16" s="15" t="s">
        <v>30</v>
      </c>
      <c r="G16" s="14">
        <v>322122</v>
      </c>
      <c r="H16" s="15" t="s">
        <v>61</v>
      </c>
      <c r="I16" s="14">
        <v>2</v>
      </c>
      <c r="J16" s="17">
        <f t="shared" si="0"/>
        <v>25000</v>
      </c>
      <c r="K16" s="14" t="s">
        <v>26</v>
      </c>
      <c r="L16" s="15" t="s">
        <v>62</v>
      </c>
      <c r="M16" s="18" t="s">
        <v>28</v>
      </c>
    </row>
    <row r="17" spans="1:13" s="13" customFormat="1" ht="25.05" customHeight="1">
      <c r="A17" s="19"/>
      <c r="B17" s="20"/>
      <c r="C17" s="20"/>
      <c r="D17" s="36" t="s">
        <v>55</v>
      </c>
      <c r="E17" s="14">
        <v>5</v>
      </c>
      <c r="F17" s="15" t="s">
        <v>24</v>
      </c>
      <c r="G17" s="14">
        <v>3200059</v>
      </c>
      <c r="H17" s="16" t="s">
        <v>63</v>
      </c>
      <c r="I17" s="14">
        <v>1</v>
      </c>
      <c r="J17" s="17">
        <f t="shared" si="0"/>
        <v>12500</v>
      </c>
      <c r="K17" s="14" t="s">
        <v>26</v>
      </c>
      <c r="L17" s="15" t="s">
        <v>62</v>
      </c>
      <c r="M17" s="18" t="s">
        <v>28</v>
      </c>
    </row>
    <row r="18" spans="1:13" s="13" customFormat="1" ht="25.05" customHeight="1">
      <c r="A18" s="11">
        <v>4</v>
      </c>
      <c r="B18" s="12" t="s">
        <v>64</v>
      </c>
      <c r="C18" s="12">
        <v>1410472</v>
      </c>
      <c r="D18" s="13" t="s">
        <v>65</v>
      </c>
      <c r="E18" s="24">
        <v>1</v>
      </c>
      <c r="F18" s="27" t="s">
        <v>32</v>
      </c>
      <c r="G18" s="24" t="s">
        <v>66</v>
      </c>
      <c r="H18" s="27" t="s">
        <v>67</v>
      </c>
      <c r="I18" s="32">
        <f>0.078+0.002</f>
        <v>0.08</v>
      </c>
      <c r="J18" s="26">
        <f t="shared" si="0"/>
        <v>1000</v>
      </c>
      <c r="K18" s="24" t="s">
        <v>34</v>
      </c>
      <c r="L18" s="27" t="s">
        <v>68</v>
      </c>
      <c r="M18" s="28" t="s">
        <v>69</v>
      </c>
    </row>
    <row r="19" spans="1:13" s="13" customFormat="1" ht="25.05" customHeight="1">
      <c r="A19" s="19"/>
      <c r="B19" s="20"/>
      <c r="C19" s="20"/>
      <c r="D19" s="13" t="s">
        <v>65</v>
      </c>
      <c r="E19" s="24">
        <v>2</v>
      </c>
      <c r="F19" s="27" t="s">
        <v>32</v>
      </c>
      <c r="G19" s="24" t="s">
        <v>70</v>
      </c>
      <c r="H19" s="27" t="s">
        <v>71</v>
      </c>
      <c r="I19" s="32">
        <f>0.078+0.002</f>
        <v>0.08</v>
      </c>
      <c r="J19" s="26">
        <f t="shared" si="0"/>
        <v>1000</v>
      </c>
      <c r="K19" s="24" t="s">
        <v>34</v>
      </c>
      <c r="L19" s="27" t="s">
        <v>68</v>
      </c>
      <c r="M19" s="28" t="s">
        <v>69</v>
      </c>
    </row>
    <row r="20" spans="1:13" s="13" customFormat="1" ht="25.05" customHeight="1">
      <c r="A20" s="19"/>
      <c r="B20" s="20"/>
      <c r="C20" s="20"/>
      <c r="D20" s="13" t="s">
        <v>65</v>
      </c>
      <c r="E20" s="14">
        <v>3</v>
      </c>
      <c r="F20" s="15" t="s">
        <v>30</v>
      </c>
      <c r="G20" s="14">
        <v>322080</v>
      </c>
      <c r="H20" s="40" t="s">
        <v>58</v>
      </c>
      <c r="I20" s="14">
        <v>2</v>
      </c>
      <c r="J20" s="17">
        <f t="shared" si="0"/>
        <v>25000</v>
      </c>
      <c r="K20" s="14" t="s">
        <v>26</v>
      </c>
      <c r="L20" s="15" t="s">
        <v>59</v>
      </c>
      <c r="M20" s="18" t="s">
        <v>28</v>
      </c>
    </row>
    <row r="21" spans="1:13" s="13" customFormat="1" ht="25.05" customHeight="1">
      <c r="A21" s="19"/>
      <c r="B21" s="20"/>
      <c r="C21" s="20"/>
      <c r="D21" s="13" t="s">
        <v>65</v>
      </c>
      <c r="E21" s="14">
        <v>4</v>
      </c>
      <c r="F21" s="15" t="s">
        <v>24</v>
      </c>
      <c r="G21" s="14">
        <v>320025</v>
      </c>
      <c r="H21" s="16" t="s">
        <v>72</v>
      </c>
      <c r="I21" s="14">
        <v>1</v>
      </c>
      <c r="J21" s="17">
        <f t="shared" si="0"/>
        <v>12500</v>
      </c>
      <c r="K21" s="14" t="s">
        <v>26</v>
      </c>
      <c r="L21" s="15" t="s">
        <v>59</v>
      </c>
      <c r="M21" s="18" t="s">
        <v>28</v>
      </c>
    </row>
    <row r="22" spans="1:13" s="13" customFormat="1" ht="25.05" customHeight="1">
      <c r="A22" s="19"/>
      <c r="B22" s="20"/>
      <c r="C22" s="20"/>
      <c r="D22" s="13" t="s">
        <v>65</v>
      </c>
      <c r="E22" s="14">
        <v>5</v>
      </c>
      <c r="F22" s="15" t="s">
        <v>30</v>
      </c>
      <c r="G22" s="14">
        <v>320075</v>
      </c>
      <c r="H22" s="15" t="s">
        <v>73</v>
      </c>
      <c r="I22" s="14">
        <v>2</v>
      </c>
      <c r="J22" s="17">
        <f t="shared" si="0"/>
        <v>25000</v>
      </c>
      <c r="K22" s="14" t="s">
        <v>26</v>
      </c>
      <c r="L22" s="15" t="s">
        <v>74</v>
      </c>
      <c r="M22" s="18" t="s">
        <v>28</v>
      </c>
    </row>
    <row r="23" spans="1:13" s="13" customFormat="1" ht="25.05" customHeight="1">
      <c r="A23" s="19"/>
      <c r="B23" s="20"/>
      <c r="C23" s="20"/>
      <c r="D23" s="13" t="s">
        <v>65</v>
      </c>
      <c r="E23" s="14">
        <v>6</v>
      </c>
      <c r="F23" s="15" t="s">
        <v>24</v>
      </c>
      <c r="G23" s="14">
        <v>320573</v>
      </c>
      <c r="H23" s="16" t="s">
        <v>75</v>
      </c>
      <c r="I23" s="14">
        <v>1</v>
      </c>
      <c r="J23" s="17">
        <f t="shared" si="0"/>
        <v>12500</v>
      </c>
      <c r="K23" s="14" t="s">
        <v>26</v>
      </c>
      <c r="L23" s="15" t="s">
        <v>74</v>
      </c>
      <c r="M23" s="18" t="s">
        <v>28</v>
      </c>
    </row>
    <row r="24" spans="1:13" s="13" customFormat="1" ht="25.05" customHeight="1">
      <c r="A24" s="34"/>
      <c r="B24" s="35"/>
      <c r="C24" s="35"/>
      <c r="D24" s="36" t="s">
        <v>65</v>
      </c>
      <c r="E24" s="14">
        <v>7</v>
      </c>
      <c r="F24" s="15" t="s">
        <v>76</v>
      </c>
      <c r="G24" s="14">
        <v>605815</v>
      </c>
      <c r="H24" s="15" t="s">
        <v>77</v>
      </c>
      <c r="I24" s="14">
        <v>1</v>
      </c>
      <c r="J24" s="17">
        <f t="shared" si="0"/>
        <v>12500</v>
      </c>
      <c r="K24" s="14" t="s">
        <v>26</v>
      </c>
      <c r="L24" s="15" t="s">
        <v>78</v>
      </c>
      <c r="M24" s="18" t="s">
        <v>79</v>
      </c>
    </row>
    <row r="25" spans="1:13">
      <c r="J25" s="41">
        <f>SUM(J3:J24)-J6-J7-J11-J12-J13-J18-J19-J24</f>
        <v>562500</v>
      </c>
    </row>
    <row r="26" spans="1:13">
      <c r="J26" s="42"/>
    </row>
    <row r="28" spans="1:13">
      <c r="H28" s="43"/>
    </row>
    <row r="29" spans="1:13">
      <c r="H29" s="43"/>
    </row>
    <row r="30" spans="1:13">
      <c r="G30" s="44"/>
      <c r="H30" s="43"/>
    </row>
    <row r="31" spans="1:13">
      <c r="H31" s="43"/>
    </row>
  </sheetData>
  <hyperlinks>
    <hyperlink ref="H3" r:id="rId1" display="HY-4Y" xr:uid="{EB5F16CF-0F42-4D3E-BF53-ED668BC79906}"/>
    <hyperlink ref="H8" r:id="rId2" display="GHX-10Y" xr:uid="{9BFE66F9-A74F-45A7-AA5F-415458811BCC}"/>
    <hyperlink ref="H23" r:id="rId3" display="1007-3Y White buckle" xr:uid="{51E84411-16A0-4A13-BEC1-82AAE059ECC6}"/>
    <hyperlink ref="H21" r:id="rId4" display="2008-3Y White buckle" xr:uid="{FBE5CABE-A519-4E9F-B0E8-8EE61A4AB0E0}"/>
    <hyperlink ref="H17" r:id="rId5" display="TJC3B-2Y" xr:uid="{A12EC4FC-9A87-4E78-B455-E2D50A41319B}"/>
  </hyperlinks>
  <printOptions horizontalCentered="1"/>
  <pageMargins left="0" right="0" top="0.5" bottom="0" header="0.31496062992126" footer="0.31496062992126"/>
  <pageSetup paperSize="9" scale="46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BOM-Harness</vt:lpstr>
      <vt:lpstr>'BOM-Harness'!Print_Area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SJIT VINA COMPANY SJIT VINA COMPANY</dc:creator>
  <cp:lastModifiedBy>SJIT VINA COMPANY SJIT VINA COMPANY</cp:lastModifiedBy>
  <dcterms:created xsi:type="dcterms:W3CDTF">2026-08-09T03:55:01Z</dcterms:created>
  <dcterms:modified xsi:type="dcterms:W3CDTF">2026-08-09T04:06:09Z</dcterms:modified>
</cp:coreProperties>
</file>