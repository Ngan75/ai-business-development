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itv\ai-business-development\AI Business\RFQ - Quản lý Yêu cầu Báo giá\"/>
    </mc:Choice>
  </mc:AlternateContent>
  <xr:revisionPtr revIDLastSave="0" documentId="13_ncr:1_{04DA76AA-B1D7-4A2C-8F68-9DC80CD41BEB}" xr6:coauthVersionLast="47" xr6:coauthVersionMax="47" xr10:uidLastSave="{00000000-0000-0000-0000-000000000000}"/>
  <bookViews>
    <workbookView xWindow="-108" yWindow="-108" windowWidth="23256" windowHeight="12456" xr2:uid="{C15444C0-2B6F-4F7F-8158-4182DFF17E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3" i="1"/>
  <c r="E5" i="1"/>
  <c r="E4" i="1"/>
</calcChain>
</file>

<file path=xl/sharedStrings.xml><?xml version="1.0" encoding="utf-8"?>
<sst xmlns="http://schemas.openxmlformats.org/spreadsheetml/2006/main" count="263" uniqueCount="241">
  <si>
    <t>Mã RFQ</t>
  </si>
  <si>
    <t>Dự án</t>
  </si>
  <si>
    <t>Nhà cung cấp</t>
  </si>
  <si>
    <t>Số linh kiện</t>
  </si>
  <si>
    <t>Tổng giá trị</t>
  </si>
  <si>
    <t>Ngày gửi</t>
  </si>
  <si>
    <t>Trạng thái</t>
  </si>
  <si>
    <t>RFQ-2026-001</t>
  </si>
  <si>
    <t>Medical Harness</t>
  </si>
  <si>
    <t>Toa Musen</t>
  </si>
  <si>
    <t>14 mã</t>
  </si>
  <si>
    <t>Đã thành công</t>
  </si>
  <si>
    <t>RFQ-2026-002</t>
  </si>
  <si>
    <t>RFQ-2026-003</t>
  </si>
  <si>
    <t>RFQ-2026-004</t>
  </si>
  <si>
    <t>RFQ-2026-005</t>
  </si>
  <si>
    <t>Safety-Earth Wire Harness</t>
  </si>
  <si>
    <t>2 mã</t>
  </si>
  <si>
    <t>NG (giá cao)</t>
  </si>
  <si>
    <t>Control Chair PCBA</t>
  </si>
  <si>
    <t>Đang xử lý</t>
  </si>
  <si>
    <t>Wire harnneses TV</t>
  </si>
  <si>
    <t>Regza</t>
  </si>
  <si>
    <t>4 mã</t>
  </si>
  <si>
    <t>RFQ-2026-006</t>
  </si>
  <si>
    <t>RFQ-2026-007</t>
  </si>
  <si>
    <t>PCBA TV 24inch</t>
  </si>
  <si>
    <t>DLG Ansen</t>
  </si>
  <si>
    <t>1 BOM</t>
  </si>
  <si>
    <t>PCBA TV 40inch</t>
  </si>
  <si>
    <t>Đã báo giá</t>
  </si>
  <si>
    <t>PCBA TV</t>
  </si>
  <si>
    <t>3 BOM</t>
  </si>
  <si>
    <t>Chuẩn bị báo giá</t>
  </si>
  <si>
    <r>
      <t>import</t>
    </r>
    <r>
      <rPr>
        <sz val="7"/>
        <color rgb="FF141414"/>
        <rFont val="Consolas"/>
        <family val="3"/>
      </rPr>
      <t xml:space="preserve"> { </t>
    </r>
    <r>
      <rPr>
        <sz val="7"/>
        <color rgb="FF005293"/>
        <rFont val="Consolas"/>
        <family val="3"/>
      </rPr>
      <t>useState</t>
    </r>
    <r>
      <rPr>
        <sz val="7"/>
        <color rgb="FF141414"/>
        <rFont val="Consolas"/>
        <family val="3"/>
      </rPr>
      <t xml:space="preserve">, </t>
    </r>
    <r>
      <rPr>
        <sz val="7"/>
        <color rgb="FF005293"/>
        <rFont val="Consolas"/>
        <family val="3"/>
      </rPr>
      <t>useEffect</t>
    </r>
    <r>
      <rPr>
        <sz val="7"/>
        <color rgb="FF141414"/>
        <rFont val="Consolas"/>
        <family val="3"/>
      </rPr>
      <t xml:space="preserve"> } </t>
    </r>
    <r>
      <rPr>
        <sz val="7"/>
        <color rgb="FFA30034"/>
        <rFont val="Consolas"/>
        <family val="3"/>
      </rPr>
      <t>from</t>
    </r>
    <r>
      <rPr>
        <sz val="7"/>
        <color rgb="FF141414"/>
        <rFont val="Consolas"/>
        <family val="3"/>
      </rPr>
      <t xml:space="preserve"> </t>
    </r>
    <r>
      <rPr>
        <sz val="7"/>
        <color rgb="FF7565CC"/>
        <rFont val="Consolas"/>
        <family val="3"/>
      </rPr>
      <t>'react'</t>
    </r>
    <r>
      <rPr>
        <sz val="7"/>
        <color rgb="FF141414"/>
        <rFont val="Consolas"/>
        <family val="3"/>
      </rPr>
      <t>;</t>
    </r>
  </si>
  <si>
    <r>
      <t>import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*</t>
    </r>
    <r>
      <rPr>
        <sz val="7"/>
        <color rgb="FF141414"/>
        <rFont val="Consolas"/>
        <family val="3"/>
      </rPr>
      <t xml:space="preserve"> </t>
    </r>
    <r>
      <rPr>
        <sz val="7"/>
        <color rgb="FFA30034"/>
        <rFont val="Consolas"/>
        <family val="3"/>
      </rPr>
      <t>as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141414"/>
        <rFont val="Consolas"/>
        <family val="3"/>
      </rPr>
      <t xml:space="preserve"> </t>
    </r>
    <r>
      <rPr>
        <sz val="7"/>
        <color rgb="FFA30034"/>
        <rFont val="Consolas"/>
        <family val="3"/>
      </rPr>
      <t>from</t>
    </r>
    <r>
      <rPr>
        <sz val="7"/>
        <color rgb="FF141414"/>
        <rFont val="Consolas"/>
        <family val="3"/>
      </rPr>
      <t xml:space="preserve"> </t>
    </r>
    <r>
      <rPr>
        <sz val="7"/>
        <color rgb="FF7565CC"/>
        <rFont val="Consolas"/>
        <family val="3"/>
      </rPr>
      <t>'xlsx'</t>
    </r>
    <r>
      <rPr>
        <sz val="7"/>
        <color rgb="FF141414"/>
        <rFont val="Consolas"/>
        <family val="3"/>
      </rPr>
      <t>;</t>
    </r>
  </si>
  <si>
    <r>
      <t>export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default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function</t>
    </r>
    <r>
      <rPr>
        <sz val="7"/>
        <color rgb="FFCD4500"/>
        <rFont val="Consolas"/>
        <family val="3"/>
      </rPr>
      <t xml:space="preserve"> RFQPage() {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</si>
  <si>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rfqList</t>
    </r>
    <r>
      <rPr>
        <sz val="7"/>
        <color rgb="FFCD4500"/>
        <rFont val="Consolas"/>
        <family val="3"/>
      </rPr>
      <t xml:space="preserve">, setRfqList]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useState&lt;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 xml:space="preserve">[]&gt;(()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</si>
  <si>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3B7E84"/>
        <rFont val="Consolas"/>
        <family val="3"/>
      </rPr>
      <t>localStorage</t>
    </r>
    <r>
      <rPr>
        <sz val="7"/>
        <color rgb="FFCD4500"/>
        <rFont val="Consolas"/>
        <family val="3"/>
      </rPr>
      <t>.getItem(</t>
    </r>
    <r>
      <rPr>
        <sz val="7"/>
        <color rgb="FF7565CC"/>
        <rFont val="Consolas"/>
        <family val="3"/>
      </rPr>
      <t>'ai_business_rfq_list'</t>
    </r>
    <r>
      <rPr>
        <sz val="7"/>
        <color rgb="FFCD4500"/>
        <rFont val="Consolas"/>
        <family val="3"/>
      </rPr>
      <t>);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</si>
  <si>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3B7E84"/>
        <rFont val="Consolas"/>
        <family val="3"/>
      </rPr>
      <t>JSON</t>
    </r>
    <r>
      <rPr>
        <sz val="7"/>
        <color rgb="FFCD4500"/>
        <rFont val="Consolas"/>
        <family val="3"/>
      </rPr>
      <t>.parse(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)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[];</t>
    </r>
  </si>
  <si>
    <t>  });</t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</si>
  <si>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searchTerm</t>
    </r>
    <r>
      <rPr>
        <sz val="7"/>
        <color rgb="FFCD4500"/>
        <rFont val="Consolas"/>
        <family val="3"/>
      </rPr>
      <t xml:space="preserve">, setSearchTerm]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useState(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</si>
  <si>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statusFilter</t>
    </r>
    <r>
      <rPr>
        <sz val="7"/>
        <color rgb="FFCD4500"/>
        <rFont val="Consolas"/>
        <family val="3"/>
      </rPr>
      <t xml:space="preserve">, setStatusFilter]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useState(</t>
    </r>
    <r>
      <rPr>
        <sz val="7"/>
        <color rgb="FF7565CC"/>
        <rFont val="Consolas"/>
        <family val="3"/>
      </rPr>
      <t>'Tất cả'</t>
    </r>
    <r>
      <rPr>
        <sz val="7"/>
        <color rgb="FFCD4500"/>
        <rFont val="Consolas"/>
        <family val="3"/>
      </rPr>
      <t>);</t>
    </r>
  </si>
  <si>
    <r>
      <t xml:space="preserve">  useEffect(()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</si>
  <si>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3B7E84"/>
        <rFont val="Consolas"/>
        <family val="3"/>
      </rPr>
      <t>localStorage</t>
    </r>
    <r>
      <rPr>
        <sz val="7"/>
        <color rgb="FFCD4500"/>
        <rFont val="Consolas"/>
        <family val="3"/>
      </rPr>
      <t>.setItem(</t>
    </r>
    <r>
      <rPr>
        <sz val="7"/>
        <color rgb="FF7565CC"/>
        <rFont val="Consolas"/>
        <family val="3"/>
      </rPr>
      <t>'ai_business_rfq_list'</t>
    </r>
    <r>
      <rPr>
        <sz val="7"/>
        <color rgb="FFCD4500"/>
        <rFont val="Consolas"/>
        <family val="3"/>
      </rPr>
      <t xml:space="preserve">, </t>
    </r>
    <r>
      <rPr>
        <sz val="7"/>
        <color rgb="FF3B7E84"/>
        <rFont val="Consolas"/>
        <family val="3"/>
      </rPr>
      <t>JSON</t>
    </r>
    <r>
      <rPr>
        <sz val="7"/>
        <color rgb="FFCD4500"/>
        <rFont val="Consolas"/>
        <family val="3"/>
      </rPr>
      <t>.stringify(</t>
    </r>
    <r>
      <rPr>
        <sz val="7"/>
        <color rgb="FF005293"/>
        <rFont val="Consolas"/>
        <family val="3"/>
      </rPr>
      <t>rfqList</t>
    </r>
    <r>
      <rPr>
        <sz val="7"/>
        <color rgb="FFCD4500"/>
        <rFont val="Consolas"/>
        <family val="3"/>
      </rPr>
      <t>));</t>
    </r>
  </si>
  <si>
    <r>
      <t>  }, [</t>
    </r>
    <r>
      <rPr>
        <sz val="7"/>
        <color rgb="FF005293"/>
        <rFont val="Consolas"/>
        <family val="3"/>
      </rPr>
      <t>rfqList</t>
    </r>
    <r>
      <rPr>
        <sz val="7"/>
        <color rgb="FFCD4500"/>
        <rFont val="Consolas"/>
        <family val="3"/>
      </rPr>
      <t>]);</t>
    </r>
  </si>
  <si>
    <r>
      <t xml:space="preserve">  </t>
    </r>
    <r>
      <rPr>
        <i/>
        <sz val="7"/>
        <color rgb="FF141414"/>
        <rFont val="Consolas"/>
        <family val="3"/>
      </rPr>
      <t>// Hàm chuẩn hóa ngày tháng CHỈ LẤY DD / MMM / YYYY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</si>
  <si>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formatDateString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(rawDate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</si>
  <si>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!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</si>
  <si>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let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dateObj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</si>
  <si>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i/>
        <sz val="7"/>
        <color rgb="FF141414"/>
        <rFont val="Consolas"/>
        <family val="3"/>
      </rPr>
      <t>// 1. Trường hợp là đối tượng Date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</si>
  <si>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instanceof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Date</t>
    </r>
    <r>
      <rPr>
        <sz val="7"/>
        <color rgb="FFCD4500"/>
        <rFont val="Consolas"/>
        <family val="3"/>
      </rPr>
      <t>) {</t>
    </r>
  </si>
  <si>
    <r>
      <t xml:space="preserve">      </t>
    </r>
    <r>
      <rPr>
        <sz val="7"/>
        <color rgb="FF005293"/>
        <rFont val="Consolas"/>
        <family val="3"/>
      </rPr>
      <t>dateObj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>;</t>
    </r>
  </si>
  <si>
    <t xml:space="preserve">    } </t>
  </si>
  <si>
    <r>
      <t xml:space="preserve">    </t>
    </r>
    <r>
      <rPr>
        <i/>
        <sz val="7"/>
        <color rgb="FF141414"/>
        <rFont val="Consolas"/>
        <family val="3"/>
      </rPr>
      <t>// 2. Trường hợp là Số đếm ngày Excel (Excel Serial Number)</t>
    </r>
  </si>
  <si>
    <r>
      <t xml:space="preserve">    </t>
    </r>
    <r>
      <rPr>
        <sz val="7"/>
        <color rgb="FFA30034"/>
        <rFont val="Consolas"/>
        <family val="3"/>
      </rPr>
      <t>else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'number'</t>
    </r>
    <r>
      <rPr>
        <sz val="7"/>
        <color rgb="FFCD4500"/>
        <rFont val="Consolas"/>
        <family val="3"/>
      </rPr>
      <t>) {</t>
    </r>
  </si>
  <si>
    <r>
      <t xml:space="preserve">      </t>
    </r>
    <r>
      <rPr>
        <sz val="7"/>
        <color rgb="FF005293"/>
        <rFont val="Consolas"/>
        <family val="3"/>
      </rPr>
      <t>dateObj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new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Date</t>
    </r>
    <r>
      <rPr>
        <sz val="7"/>
        <color rgb="FFCD4500"/>
        <rFont val="Consolas"/>
        <family val="3"/>
      </rPr>
      <t>((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-</t>
    </r>
    <r>
      <rPr>
        <sz val="7"/>
        <color rgb="FFCD4500"/>
        <rFont val="Consolas"/>
        <family val="3"/>
      </rPr>
      <t xml:space="preserve"> (</t>
    </r>
    <r>
      <rPr>
        <sz val="7"/>
        <color rgb="FF92156A"/>
        <rFont val="Consolas"/>
        <family val="3"/>
      </rPr>
      <t>25567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2</t>
    </r>
    <r>
      <rPr>
        <sz val="7"/>
        <color rgb="FFCD4500"/>
        <rFont val="Consolas"/>
        <family val="3"/>
      </rPr>
      <t xml:space="preserve">)) </t>
    </r>
    <r>
      <rPr>
        <sz val="7"/>
        <color rgb="FF141414"/>
        <rFont val="Consolas"/>
        <family val="3"/>
      </rPr>
      <t>*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86400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*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1000</t>
    </r>
    <r>
      <rPr>
        <sz val="7"/>
        <color rgb="FFCD4500"/>
        <rFont val="Consolas"/>
        <family val="3"/>
      </rPr>
      <t>);</t>
    </r>
  </si>
  <si>
    <r>
      <t xml:space="preserve">    </t>
    </r>
    <r>
      <rPr>
        <i/>
        <sz val="7"/>
        <color rgb="FF141414"/>
        <rFont val="Consolas"/>
        <family val="3"/>
      </rPr>
      <t>// 3. Trường hợp là Chuỗi (string)</t>
    </r>
  </si>
  <si>
    <r>
      <t xml:space="preserve">    </t>
    </r>
    <r>
      <rPr>
        <sz val="7"/>
        <color rgb="FFA30034"/>
        <rFont val="Consolas"/>
        <family val="3"/>
      </rPr>
      <t>else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'string'</t>
    </r>
    <r>
      <rPr>
        <sz val="7"/>
        <color rgb="FFCD4500"/>
        <rFont val="Consolas"/>
        <family val="3"/>
      </rPr>
      <t>) {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</si>
  <si>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parsed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Date</t>
    </r>
    <r>
      <rPr>
        <sz val="7"/>
        <color rgb="FFCD4500"/>
        <rFont val="Consolas"/>
        <family val="3"/>
      </rPr>
      <t>.parse(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>);</t>
    </r>
  </si>
  <si>
    <r>
      <t xml:space="preserve">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!</t>
    </r>
    <r>
      <rPr>
        <sz val="7"/>
        <color rgb="FFCD4500"/>
        <rFont val="Consolas"/>
        <family val="3"/>
      </rPr>
      <t>isNaN(</t>
    </r>
    <r>
      <rPr>
        <sz val="7"/>
        <color rgb="FF005293"/>
        <rFont val="Consolas"/>
        <family val="3"/>
      </rPr>
      <t>parsed</t>
    </r>
    <r>
      <rPr>
        <sz val="7"/>
        <color rgb="FFCD4500"/>
        <rFont val="Consolas"/>
        <family val="3"/>
      </rPr>
      <t>)) {</t>
    </r>
  </si>
  <si>
    <r>
      <t xml:space="preserve">        </t>
    </r>
    <r>
      <rPr>
        <sz val="7"/>
        <color rgb="FF005293"/>
        <rFont val="Consolas"/>
        <family val="3"/>
      </rPr>
      <t>dateObj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new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Date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parsed</t>
    </r>
    <r>
      <rPr>
        <sz val="7"/>
        <color rgb="FFCD4500"/>
        <rFont val="Consolas"/>
        <family val="3"/>
      </rPr>
      <t>);</t>
    </r>
  </si>
  <si>
    <t>      }</t>
  </si>
  <si>
    <t>    }</t>
  </si>
  <si>
    <r>
      <t xml:space="preserve">    </t>
    </r>
    <r>
      <rPr>
        <i/>
        <sz val="7"/>
        <color rgb="FF141414"/>
        <rFont val="Consolas"/>
        <family val="3"/>
      </rPr>
      <t>// Định dạng duy nhất DD / MMM / YYYY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</si>
  <si>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dateObj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</t>
    </r>
    <r>
      <rPr>
        <sz val="7"/>
        <color rgb="FFCD4500"/>
        <rFont val="Consolas"/>
        <family val="3"/>
      </rPr>
      <t>isNaN(</t>
    </r>
    <r>
      <rPr>
        <sz val="7"/>
        <color rgb="FF005293"/>
        <rFont val="Consolas"/>
        <family val="3"/>
      </rPr>
      <t>dateObj</t>
    </r>
    <r>
      <rPr>
        <sz val="7"/>
        <color rgb="FFCD4500"/>
        <rFont val="Consolas"/>
        <family val="3"/>
      </rPr>
      <t>.getTime())) {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</si>
  <si>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day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dateObj</t>
    </r>
    <r>
      <rPr>
        <sz val="7"/>
        <color rgb="FFCD4500"/>
        <rFont val="Consolas"/>
        <family val="3"/>
      </rPr>
      <t>.getDate()).padStart(</t>
    </r>
    <r>
      <rPr>
        <sz val="7"/>
        <color rgb="FF92156A"/>
        <rFont val="Consolas"/>
        <family val="3"/>
      </rPr>
      <t>2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'0'</t>
    </r>
    <r>
      <rPr>
        <sz val="7"/>
        <color rgb="FFCD4500"/>
        <rFont val="Consolas"/>
        <family val="3"/>
      </rPr>
      <t>);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</si>
  <si>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months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[</t>
    </r>
    <r>
      <rPr>
        <sz val="7"/>
        <color rgb="FF7565CC"/>
        <rFont val="Consolas"/>
        <family val="3"/>
      </rPr>
      <t>'Jan'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'Feb'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'Mar'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'Apr'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'May'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'Jun'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'Jul'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'Aug'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'Sep'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'Oct'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'Nov'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'Dec'</t>
    </r>
    <r>
      <rPr>
        <sz val="7"/>
        <color rgb="FFCD4500"/>
        <rFont val="Consolas"/>
        <family val="3"/>
      </rPr>
      <t>];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</si>
  <si>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month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months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dateObj</t>
    </r>
    <r>
      <rPr>
        <sz val="7"/>
        <color rgb="FFCD4500"/>
        <rFont val="Consolas"/>
        <family val="3"/>
      </rPr>
      <t>.getMonth()];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</si>
  <si>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year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dateObj</t>
    </r>
    <r>
      <rPr>
        <sz val="7"/>
        <color rgb="FFCD4500"/>
        <rFont val="Consolas"/>
        <family val="3"/>
      </rPr>
      <t>.getFullYear();</t>
    </r>
  </si>
  <si>
    <r>
      <t xml:space="preserve">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`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day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 xml:space="preserve"> / 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month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 xml:space="preserve"> / 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year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</si>
  <si>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String(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>);</t>
    </r>
  </si>
  <si>
    <t>  };</t>
  </si>
  <si>
    <r>
      <t xml:space="preserve">  </t>
    </r>
    <r>
      <rPr>
        <i/>
        <sz val="7"/>
        <color rgb="FF141414"/>
        <rFont val="Consolas"/>
        <family val="3"/>
      </rPr>
      <t>// Xử lý nạp File Excel RFQ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</si>
  <si>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handleFileUpload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React</t>
    </r>
    <r>
      <rPr>
        <sz val="7"/>
        <color rgb="FFCD4500"/>
        <rFont val="Consolas"/>
        <family val="3"/>
      </rPr>
      <t>.</t>
    </r>
    <r>
      <rPr>
        <sz val="7"/>
        <color rgb="FF005293"/>
        <rFont val="Consolas"/>
        <family val="3"/>
      </rPr>
      <t>ChangeEvent</t>
    </r>
    <r>
      <rPr>
        <sz val="7"/>
        <color rgb="FFCD4500"/>
        <rFont val="Consolas"/>
        <family val="3"/>
      </rPr>
      <t>&lt;</t>
    </r>
    <r>
      <rPr>
        <sz val="7"/>
        <color rgb="FF005293"/>
        <rFont val="Consolas"/>
        <family val="3"/>
      </rPr>
      <t>HTMLInputElement</t>
    </r>
    <r>
      <rPr>
        <sz val="7"/>
        <color rgb="FFCD4500"/>
        <rFont val="Consolas"/>
        <family val="3"/>
      </rPr>
      <t xml:space="preserve">&gt;)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</si>
  <si>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e.target.</t>
    </r>
    <r>
      <rPr>
        <sz val="7"/>
        <color rgb="FF654DC0"/>
        <rFont val="Consolas"/>
        <family val="3"/>
      </rPr>
      <t>files</t>
    </r>
    <r>
      <rPr>
        <sz val="7"/>
        <color rgb="FFCD4500"/>
        <rFont val="Consolas"/>
        <family val="3"/>
      </rPr>
      <t>?.[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];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</si>
  <si>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!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</si>
  <si>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reader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new</t>
    </r>
    <r>
      <rPr>
        <sz val="7"/>
        <color rgb="FFCD4500"/>
        <rFont val="Consolas"/>
        <family val="3"/>
      </rPr>
      <t xml:space="preserve"> FileReader();</t>
    </r>
  </si>
  <si>
    <r>
      <t xml:space="preserve">    reader.onload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(evt)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</si>
  <si>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bstr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evt.target?.</t>
    </r>
    <r>
      <rPr>
        <sz val="7"/>
        <color rgb="FF654DC0"/>
        <rFont val="Consolas"/>
        <family val="3"/>
      </rPr>
      <t>result</t>
    </r>
    <r>
      <rPr>
        <sz val="7"/>
        <color rgb="FFCD4500"/>
        <rFont val="Consolas"/>
        <family val="3"/>
      </rPr>
      <t>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</si>
  <si>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wb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CD4500"/>
        <rFont val="Consolas"/>
        <family val="3"/>
      </rPr>
      <t>.read(</t>
    </r>
    <r>
      <rPr>
        <sz val="7"/>
        <color rgb="FF005293"/>
        <rFont val="Consolas"/>
        <family val="3"/>
      </rPr>
      <t>bstr</t>
    </r>
    <r>
      <rPr>
        <sz val="7"/>
        <color rgb="FFCD4500"/>
        <rFont val="Consolas"/>
        <family val="3"/>
      </rPr>
      <t xml:space="preserve">, { type: </t>
    </r>
    <r>
      <rPr>
        <sz val="7"/>
        <color rgb="FF7565CC"/>
        <rFont val="Consolas"/>
        <family val="3"/>
      </rPr>
      <t>'binary'</t>
    </r>
    <r>
      <rPr>
        <sz val="7"/>
        <color rgb="FFCD4500"/>
        <rFont val="Consolas"/>
        <family val="3"/>
      </rPr>
      <t xml:space="preserve">, cellDates: </t>
    </r>
    <r>
      <rPr>
        <sz val="7"/>
        <color rgb="FF005293"/>
        <rFont val="Consolas"/>
        <family val="3"/>
      </rPr>
      <t>true</t>
    </r>
    <r>
      <rPr>
        <sz val="7"/>
        <color rgb="FFCD4500"/>
        <rFont val="Consolas"/>
        <family val="3"/>
      </rPr>
      <t xml:space="preserve"> });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</si>
  <si>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wsname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wb.</t>
    </r>
    <r>
      <rPr>
        <sz val="7"/>
        <color rgb="FF654DC0"/>
        <rFont val="Consolas"/>
        <family val="3"/>
      </rPr>
      <t>SheetNames</t>
    </r>
    <r>
      <rPr>
        <sz val="7"/>
        <color rgb="FFCD4500"/>
        <rFont val="Consolas"/>
        <family val="3"/>
      </rPr>
      <t>[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];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</si>
  <si>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wb.</t>
    </r>
    <r>
      <rPr>
        <sz val="7"/>
        <color rgb="FF654DC0"/>
        <rFont val="Consolas"/>
        <family val="3"/>
      </rPr>
      <t>Sheets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wsname</t>
    </r>
    <r>
      <rPr>
        <sz val="7"/>
        <color rgb="FFCD4500"/>
        <rFont val="Consolas"/>
        <family val="3"/>
      </rPr>
      <t>];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</si>
  <si>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data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 xml:space="preserve">[]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CD4500"/>
        <rFont val="Consolas"/>
        <family val="3"/>
      </rPr>
      <t>.utils.sheet_to_json(</t>
    </r>
    <r>
      <rPr>
        <sz val="7"/>
        <color rgb="FF005293"/>
        <rFont val="Consolas"/>
        <family val="3"/>
      </rPr>
      <t>ws</t>
    </r>
    <r>
      <rPr>
        <sz val="7"/>
        <color rgb="FFCD4500"/>
        <rFont val="Consolas"/>
        <family val="3"/>
      </rPr>
      <t xml:space="preserve">, { defval: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 });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</si>
  <si>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importedRfq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data</t>
    </r>
  </si>
  <si>
    <r>
      <t>        .filter((row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</si>
  <si>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firstCell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String(Object.values(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)[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).trim();</t>
    </r>
  </si>
  <si>
    <r>
      <t xml:space="preserve">  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firstCell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</t>
    </r>
    <r>
      <rPr>
        <sz val="7"/>
        <color rgb="FFCD4500"/>
        <rFont val="Consolas"/>
        <family val="3"/>
      </rPr>
      <t>firstCell.toLowerCase().includes(</t>
    </r>
    <r>
      <rPr>
        <sz val="7"/>
        <color rgb="FF7565CC"/>
        <rFont val="Consolas"/>
        <family val="3"/>
      </rPr>
      <t>'tổng'</t>
    </r>
    <r>
      <rPr>
        <sz val="7"/>
        <color rgb="FFCD4500"/>
        <rFont val="Consolas"/>
        <family val="3"/>
      </rPr>
      <t>);</t>
    </r>
  </si>
  <si>
    <t>        })</t>
  </si>
  <si>
    <r>
      <t>        .map((row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>, index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number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</si>
  <si>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keys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Object.keys(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);</t>
    </r>
  </si>
  <si>
    <t xml:space="preserve">          </t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</si>
  <si>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findVal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(names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string</t>
    </r>
    <r>
      <rPr>
        <sz val="7"/>
        <color rgb="FFCD4500"/>
        <rFont val="Consolas"/>
        <family val="3"/>
      </rPr>
      <t xml:space="preserve">[])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</si>
  <si>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keys.find((key) </t>
    </r>
    <r>
      <rPr>
        <sz val="7"/>
        <color rgb="FFA30034"/>
        <rFont val="Consolas"/>
        <family val="3"/>
      </rPr>
      <t>=&gt;</t>
    </r>
  </si>
  <si>
    <r>
      <t xml:space="preserve">              names.some((n)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key.trim().toLowerCase().replace(</t>
    </r>
    <r>
      <rPr>
        <sz val="7"/>
        <color rgb="FF7565CC"/>
        <rFont val="Consolas"/>
        <family val="3"/>
      </rPr>
      <t>/</t>
    </r>
    <r>
      <rPr>
        <sz val="7"/>
        <color rgb="FF005293"/>
        <rFont val="Consolas"/>
        <family val="3"/>
      </rPr>
      <t>\s</t>
    </r>
    <r>
      <rPr>
        <sz val="7"/>
        <color rgb="FFAE3C00"/>
        <rFont val="Consolas"/>
        <family val="3"/>
      </rPr>
      <t>+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n.trim().toLowerCase().replace(</t>
    </r>
    <r>
      <rPr>
        <sz val="7"/>
        <color rgb="FF7565CC"/>
        <rFont val="Consolas"/>
        <family val="3"/>
      </rPr>
      <t>/</t>
    </r>
    <r>
      <rPr>
        <sz val="7"/>
        <color rgb="FF005293"/>
        <rFont val="Consolas"/>
        <family val="3"/>
      </rPr>
      <t>\s</t>
    </r>
    <r>
      <rPr>
        <sz val="7"/>
        <color rgb="FFAE3C00"/>
        <rFont val="Consolas"/>
        <family val="3"/>
      </rPr>
      <t>+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))</t>
    </r>
  </si>
  <si>
    <t>            );</t>
  </si>
  <si>
    <r>
      <t xml:space="preserve">    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]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;</t>
    </r>
  </si>
  <si>
    <t>          };</t>
  </si>
  <si>
    <r>
      <t xml:space="preserve">          </t>
    </r>
    <r>
      <rPr>
        <i/>
        <sz val="7"/>
        <color rgb="FF141414"/>
        <rFont val="Consolas"/>
        <family val="3"/>
      </rPr>
      <t>// Lấy giá trị tiền</t>
    </r>
  </si>
  <si>
    <r>
      <t xml:space="preserve">          </t>
    </r>
    <r>
      <rPr>
        <sz val="7"/>
        <color rgb="FFA30034"/>
        <rFont val="Consolas"/>
        <family val="3"/>
      </rPr>
      <t>let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findVal([</t>
    </r>
    <r>
      <rPr>
        <sz val="7"/>
        <color rgb="FF7565CC"/>
        <rFont val="Consolas"/>
        <family val="3"/>
      </rPr>
      <t>'Tổng giá trị'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'Tong gia tri'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'Giá trị'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'Amount'</t>
    </r>
    <r>
      <rPr>
        <sz val="7"/>
        <color rgb="FFCD4500"/>
        <rFont val="Consolas"/>
        <family val="3"/>
      </rPr>
      <t>]);</t>
    </r>
  </si>
  <si>
    <r>
      <t xml:space="preserve">    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undefined</t>
    </r>
    <r>
      <rPr>
        <sz val="7"/>
        <color rgb="FFCD4500"/>
        <rFont val="Consolas"/>
        <family val="3"/>
      </rPr>
      <t>) {</t>
    </r>
  </si>
  <si>
    <r>
      <t xml:space="preserve">            </t>
    </r>
    <r>
      <rPr>
        <sz val="7"/>
        <color rgb="FFA30034"/>
        <rFont val="Consolas"/>
        <family val="3"/>
      </rPr>
      <t>for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keys</t>
    </r>
    <r>
      <rPr>
        <sz val="7"/>
        <color rgb="FFCD4500"/>
        <rFont val="Consolas"/>
        <family val="3"/>
      </rPr>
      <t>) {</t>
    </r>
  </si>
  <si>
    <r>
      <t xml:space="preserve">        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'number'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&gt;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&lt;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400000</t>
    </r>
    <r>
      <rPr>
        <sz val="7"/>
        <color rgb="FFCD4500"/>
        <rFont val="Consolas"/>
        <family val="3"/>
      </rPr>
      <t>) {</t>
    </r>
  </si>
  <si>
    <r>
      <t xml:space="preserve">               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>];</t>
    </r>
  </si>
  <si>
    <r>
      <t xml:space="preserve">                </t>
    </r>
    <r>
      <rPr>
        <sz val="7"/>
        <color rgb="FFA30034"/>
        <rFont val="Consolas"/>
        <family val="3"/>
      </rPr>
      <t>break</t>
    </r>
    <r>
      <rPr>
        <sz val="7"/>
        <color rgb="FFCD4500"/>
        <rFont val="Consolas"/>
        <family val="3"/>
      </rPr>
      <t>;</t>
    </r>
  </si>
  <si>
    <t>              }</t>
  </si>
  <si>
    <t>            }</t>
  </si>
  <si>
    <t>          }</t>
  </si>
  <si>
    <r>
      <t xml:space="preserve">          </t>
    </r>
    <r>
      <rPr>
        <sz val="7"/>
        <color rgb="FFA30034"/>
        <rFont val="Consolas"/>
        <family val="3"/>
      </rPr>
      <t>let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numAmount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</si>
  <si>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'number'</t>
    </r>
    <r>
      <rPr>
        <sz val="7"/>
        <color rgb="FFCD4500"/>
        <rFont val="Consolas"/>
        <family val="3"/>
      </rPr>
      <t>) {</t>
    </r>
  </si>
  <si>
    <r>
      <t xml:space="preserve">            </t>
    </r>
    <r>
      <rPr>
        <sz val="7"/>
        <color rgb="FF005293"/>
        <rFont val="Consolas"/>
        <family val="3"/>
      </rPr>
      <t>numAmount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>;</t>
    </r>
  </si>
  <si>
    <r>
      <t xml:space="preserve">          } </t>
    </r>
    <r>
      <rPr>
        <sz val="7"/>
        <color rgb="FFA30034"/>
        <rFont val="Consolas"/>
        <family val="3"/>
      </rPr>
      <t>else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>) {</t>
    </r>
  </si>
  <si>
    <r>
      <t xml:space="preserve">            </t>
    </r>
    <r>
      <rPr>
        <sz val="7"/>
        <color rgb="FF005293"/>
        <rFont val="Consolas"/>
        <family val="3"/>
      </rPr>
      <t>numAmount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parseFloat(String(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>).replace(</t>
    </r>
    <r>
      <rPr>
        <sz val="7"/>
        <color rgb="FF7565CC"/>
        <rFont val="Consolas"/>
        <family val="3"/>
      </rPr>
      <t>/</t>
    </r>
    <r>
      <rPr>
        <sz val="7"/>
        <color rgb="FFCD4500"/>
        <rFont val="Consolas"/>
        <family val="3"/>
      </rPr>
      <t>[</t>
    </r>
    <r>
      <rPr>
        <sz val="7"/>
        <color rgb="FFAE3C00"/>
        <rFont val="Consolas"/>
        <family val="3"/>
      </rPr>
      <t>^</t>
    </r>
    <r>
      <rPr>
        <sz val="7"/>
        <color rgb="FF005293"/>
        <rFont val="Consolas"/>
        <family val="3"/>
      </rPr>
      <t>0-9.-</t>
    </r>
    <r>
      <rPr>
        <sz val="7"/>
        <color rgb="FFCD4500"/>
        <rFont val="Consolas"/>
        <family val="3"/>
      </rPr>
      <t>]</t>
    </r>
    <r>
      <rPr>
        <sz val="7"/>
        <color rgb="FFAE3C00"/>
        <rFont val="Consolas"/>
        <family val="3"/>
      </rPr>
      <t>+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))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</si>
  <si>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findVal([</t>
    </r>
    <r>
      <rPr>
        <sz val="7"/>
        <color rgb="FF7565CC"/>
        <rFont val="Consolas"/>
        <family val="3"/>
      </rPr>
      <t>'Ngày gửi'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'Ngay gui'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'Date'</t>
    </r>
    <r>
      <rPr>
        <sz val="7"/>
        <color rgb="FFCD4500"/>
        <rFont val="Consolas"/>
        <family val="3"/>
      </rPr>
      <t>]);</t>
    </r>
  </si>
  <si>
    <r>
      <t xml:space="preserve">  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{</t>
    </r>
  </si>
  <si>
    <r>
      <t>            id: findVal([</t>
    </r>
    <r>
      <rPr>
        <sz val="7"/>
        <color rgb="FF7565CC"/>
        <rFont val="Consolas"/>
        <family val="3"/>
      </rPr>
      <t>'Mã RFQ'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'Ma RFQ'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'ID'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`RFQ-2026-00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index</t>
    </r>
    <r>
      <rPr>
        <sz val="7"/>
        <color rgb="FF7565CC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7565CC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,</t>
    </r>
  </si>
  <si>
    <r>
      <t>            project: findVal([</t>
    </r>
    <r>
      <rPr>
        <sz val="7"/>
        <color rgb="FF7565CC"/>
        <rFont val="Consolas"/>
        <family val="3"/>
      </rPr>
      <t>'Dự án'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'Du an'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'Project'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'Dự án Mới'</t>
    </r>
    <r>
      <rPr>
        <sz val="7"/>
        <color rgb="FFCD4500"/>
        <rFont val="Consolas"/>
        <family val="3"/>
      </rPr>
      <t>,</t>
    </r>
  </si>
  <si>
    <r>
      <t>            supplier: findVal([</t>
    </r>
    <r>
      <rPr>
        <sz val="7"/>
        <color rgb="FF7565CC"/>
        <rFont val="Consolas"/>
        <family val="3"/>
      </rPr>
      <t>'Nhà cung cấp'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'Nha cung cap'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'Supplier'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'Chưa chọn'</t>
    </r>
    <r>
      <rPr>
        <sz val="7"/>
        <color rgb="FFCD4500"/>
        <rFont val="Consolas"/>
        <family val="3"/>
      </rPr>
      <t>,</t>
    </r>
  </si>
  <si>
    <r>
      <t>            itemsCount: findVal([</t>
    </r>
    <r>
      <rPr>
        <sz val="7"/>
        <color rgb="FF7565CC"/>
        <rFont val="Consolas"/>
        <family val="3"/>
      </rPr>
      <t>'Số linh kiện'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'Số loại linh kiện'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'So linh kien'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'1 mã'</t>
    </r>
    <r>
      <rPr>
        <sz val="7"/>
        <color rgb="FFCD4500"/>
        <rFont val="Consolas"/>
        <family val="3"/>
      </rPr>
      <t>,</t>
    </r>
  </si>
  <si>
    <r>
      <t xml:space="preserve">            amountNumber: </t>
    </r>
    <r>
      <rPr>
        <sz val="7"/>
        <color rgb="FF005293"/>
        <rFont val="Consolas"/>
        <family val="3"/>
      </rPr>
      <t>numAmount</t>
    </r>
    <r>
      <rPr>
        <sz val="7"/>
        <color rgb="FFCD4500"/>
        <rFont val="Consolas"/>
        <family val="3"/>
      </rPr>
      <t>,</t>
    </r>
  </si>
  <si>
    <r>
      <t xml:space="preserve">            amountFormatted: </t>
    </r>
    <r>
      <rPr>
        <sz val="7"/>
        <color rgb="FF7565CC"/>
        <rFont val="Consolas"/>
        <family val="3"/>
      </rPr>
      <t>`$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numAmount</t>
    </r>
    <r>
      <rPr>
        <sz val="7"/>
        <color rgb="FF7565CC"/>
        <rFont val="Consolas"/>
        <family val="3"/>
      </rPr>
      <t>.</t>
    </r>
    <r>
      <rPr>
        <sz val="7"/>
        <color rgb="FFCD4500"/>
        <rFont val="Consolas"/>
        <family val="3"/>
      </rPr>
      <t>toLocaleString</t>
    </r>
    <r>
      <rPr>
        <sz val="7"/>
        <color rgb="FF7565CC"/>
        <rFont val="Consolas"/>
        <family val="3"/>
      </rPr>
      <t>('en-US')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,</t>
    </r>
  </si>
  <si>
    <r>
      <t>            sentDate: formatDateString(</t>
    </r>
    <r>
      <rPr>
        <sz val="7"/>
        <color rgb="FF005293"/>
        <rFont val="Consolas"/>
        <family val="3"/>
      </rPr>
      <t>rawDate</t>
    </r>
    <r>
      <rPr>
        <sz val="7"/>
        <color rgb="FFCD4500"/>
        <rFont val="Consolas"/>
        <family val="3"/>
      </rPr>
      <t>),</t>
    </r>
  </si>
  <si>
    <r>
      <t>            status: findVal([</t>
    </r>
    <r>
      <rPr>
        <sz val="7"/>
        <color rgb="FF7565CC"/>
        <rFont val="Consolas"/>
        <family val="3"/>
      </rPr>
      <t>'Trạng thái'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'Trang thai'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'Status'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'Chờ phản hồi'</t>
    </r>
    <r>
      <rPr>
        <sz val="7"/>
        <color rgb="FFCD4500"/>
        <rFont val="Consolas"/>
        <family val="3"/>
      </rPr>
      <t>,</t>
    </r>
  </si>
  <si>
    <t>        });</t>
  </si>
  <si>
    <r>
      <t>      setRfqList(</t>
    </r>
    <r>
      <rPr>
        <sz val="7"/>
        <color rgb="FF005293"/>
        <rFont val="Consolas"/>
        <family val="3"/>
      </rPr>
      <t>importedRfq</t>
    </r>
    <r>
      <rPr>
        <sz val="7"/>
        <color rgb="FFCD4500"/>
        <rFont val="Consolas"/>
        <family val="3"/>
      </rPr>
      <t>);</t>
    </r>
  </si>
  <si>
    <t>    };</t>
  </si>
  <si>
    <r>
      <t>    reader.readAsBinaryString(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>);</t>
    </r>
  </si>
  <si>
    <r>
      <t>    e.target.</t>
    </r>
    <r>
      <rPr>
        <sz val="7"/>
        <color rgb="FF654DC0"/>
        <rFont val="Consolas"/>
        <family val="3"/>
      </rPr>
      <t>value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</si>
  <si>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i/>
        <sz val="7"/>
        <color rgb="FF141414"/>
        <rFont val="Consolas"/>
        <family val="3"/>
      </rPr>
      <t>// Lọc dữ liệu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</si>
  <si>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filteredRfq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rfqList.filter((item)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</si>
  <si>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matchesSearch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</si>
  <si>
    <r>
      <t xml:space="preserve">      item.id.toLowerCase().includes(searchTerm.toLowerCase()) </t>
    </r>
    <r>
      <rPr>
        <sz val="7"/>
        <color rgb="FFA30034"/>
        <rFont val="Consolas"/>
        <family val="3"/>
      </rPr>
      <t>||</t>
    </r>
  </si>
  <si>
    <r>
      <t xml:space="preserve">      item.project.toLowerCase().includes(searchTerm.toLowerCase()) </t>
    </r>
    <r>
      <rPr>
        <sz val="7"/>
        <color rgb="FFA30034"/>
        <rFont val="Consolas"/>
        <family val="3"/>
      </rPr>
      <t>||</t>
    </r>
  </si>
  <si>
    <t>      item.supplier.toLowerCase().includes(searchTerm.toLowerCase());</t>
  </si>
  <si>
    <t xml:space="preserve">      </t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</si>
  <si>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matchesStatus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statusFilter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'Tất cả'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item.</t>
    </r>
    <r>
      <rPr>
        <sz val="7"/>
        <color rgb="FF654DC0"/>
        <rFont val="Consolas"/>
        <family val="3"/>
      </rPr>
      <t>status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statusFilter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</si>
  <si>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matchesSearch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matchesStatus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</si>
  <si>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totalRfqValue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filteredRfq.reduce((sum, 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(item.</t>
    </r>
    <r>
      <rPr>
        <sz val="7"/>
        <color rgb="FF654DC0"/>
        <rFont val="Consolas"/>
        <family val="3"/>
      </rPr>
      <t>amountNumber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),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</si>
  <si>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uniqueStatuses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[</t>
    </r>
    <r>
      <rPr>
        <sz val="7"/>
        <color rgb="FF7565CC"/>
        <rFont val="Consolas"/>
        <family val="3"/>
      </rPr>
      <t>'Tất cả'</t>
    </r>
    <r>
      <rPr>
        <sz val="7"/>
        <color rgb="FFCD4500"/>
        <rFont val="Consolas"/>
        <family val="3"/>
      </rPr>
      <t xml:space="preserve">, </t>
    </r>
    <r>
      <rPr>
        <sz val="7"/>
        <color rgb="FF141414"/>
        <rFont val="Consolas"/>
        <family val="3"/>
      </rPr>
      <t>...</t>
    </r>
    <r>
      <rPr>
        <sz val="7"/>
        <color rgb="FFCD4500"/>
        <rFont val="Consolas"/>
        <family val="3"/>
      </rPr>
      <t>Array.from(</t>
    </r>
    <r>
      <rPr>
        <sz val="7"/>
        <color rgb="FF005293"/>
        <rFont val="Consolas"/>
        <family val="3"/>
      </rPr>
      <t>new</t>
    </r>
    <r>
      <rPr>
        <sz val="7"/>
        <color rgb="FFCD4500"/>
        <rFont val="Consolas"/>
        <family val="3"/>
      </rPr>
      <t xml:space="preserve"> Set(rfqList.map((item)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item.</t>
    </r>
    <r>
      <rPr>
        <sz val="7"/>
        <color rgb="FF654DC0"/>
        <rFont val="Consolas"/>
        <family val="3"/>
      </rPr>
      <t>status</t>
    </r>
    <r>
      <rPr>
        <sz val="7"/>
        <color rgb="FFCD4500"/>
        <rFont val="Consolas"/>
        <family val="3"/>
      </rPr>
      <t>)))];</t>
    </r>
  </si>
  <si>
    <r>
      <t xml:space="preserve">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(</t>
    </r>
  </si>
  <si>
    <r>
      <t xml:space="preserve">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"space-y-6"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</si>
  <si>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Header &amp; Nút thao tác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</si>
  <si>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justify-between items-center border-b pb-4 border-slate-200"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</si>
  <si>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</si>
  <si>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h1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"text-2xl font-bold text-slate-800"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RFQ - Quản lý Yêu cầu Báo giá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h1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</si>
  <si>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p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"text-sm text-slate-500 mt-1"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Tạo, gửi và theo dõi phản hồi giá từ các nhà cung cấp linh kiện.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p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</si>
  <si>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</si>
  <si>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gap-3"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</si>
  <si>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"bg-emerald-600 text-white px-4 py-2 rounded-lg font-medium hover:bg-emerald-700 transition shadow-sm cursor-pointer flex items-center gap-2"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</si>
  <si>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📥 Nạp File Excel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</si>
  <si>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input</t>
    </r>
    <r>
      <rPr>
        <sz val="7"/>
        <color rgb="FFA46700"/>
        <rFont val="Consolas"/>
        <family val="3"/>
      </rPr>
      <t xml:space="preserve"> </t>
    </r>
  </si>
  <si>
    <r>
      <t xml:space="preserve">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"file"</t>
    </r>
    <r>
      <rPr>
        <sz val="7"/>
        <color rgb="FFA46700"/>
        <rFont val="Consolas"/>
        <family val="3"/>
      </rPr>
      <t xml:space="preserve"> </t>
    </r>
  </si>
  <si>
    <r>
      <t xml:space="preserve">              </t>
    </r>
    <r>
      <rPr>
        <sz val="7"/>
        <color rgb="FF654DC0"/>
        <rFont val="Consolas"/>
        <family val="3"/>
      </rPr>
      <t>accept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".xlsx, .xls, .csv"</t>
    </r>
    <r>
      <rPr>
        <sz val="7"/>
        <color rgb="FFA46700"/>
        <rFont val="Consolas"/>
        <family val="3"/>
      </rPr>
      <t xml:space="preserve"> </t>
    </r>
  </si>
  <si>
    <r>
      <t xml:space="preserve">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handleFileUpload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</si>
  <si>
    <r>
      <t xml:space="preserve">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"hidden"</t>
    </r>
    <r>
      <rPr>
        <sz val="7"/>
        <color rgb="FFA46700"/>
        <rFont val="Consolas"/>
        <family val="3"/>
      </rPr>
      <t xml:space="preserve"> </t>
    </r>
  </si>
  <si>
    <r>
      <t xml:space="preserve">            </t>
    </r>
    <r>
      <rPr>
        <sz val="7"/>
        <color rgb="FF141414"/>
        <rFont val="Consolas"/>
        <family val="3"/>
      </rPr>
      <t>/&gt;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</si>
  <si>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</si>
  <si>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"bg-sky-600 text-white px-4 py-2 rounded-lg font-medium hover:bg-sky-700 transition shadow-sm"</t>
    </r>
    <r>
      <rPr>
        <sz val="7"/>
        <color rgb="FF141414"/>
        <rFont val="Consolas"/>
        <family val="3"/>
      </rPr>
      <t>&gt;</t>
    </r>
  </si>
  <si>
    <t>            + Tạo Yêu cầu RFQ mới</t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</si>
  <si>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</si>
  <si>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</si>
  <si>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Tìm kiếm &amp; Lọc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</si>
  <si>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gap-4"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</si>
  <si>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input</t>
    </r>
  </si>
  <si>
    <r>
      <t xml:space="preserve">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"text"</t>
    </r>
  </si>
  <si>
    <r>
      <t xml:space="preserve">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"Tìm theo Mã RFQ, Tên dự án, Nhà cung cấp..."</t>
    </r>
  </si>
  <si>
    <r>
      <t xml:space="preserve">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searchTerm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</si>
  <si>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setSearchTerm</t>
    </r>
    <r>
      <rPr>
        <sz val="7"/>
        <color rgb="FFA46700"/>
        <rFont val="Consolas"/>
        <family val="3"/>
      </rPr>
      <t>(e.target.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</si>
  <si>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"flex-1 bg-white border border-slate-200 rounded-lg px-4 py-2.5 text-sm focus:outline-none focus:ring-2 focus:ring-sky-500 shadow-sm"</t>
    </r>
  </si>
  <si>
    <r>
      <t xml:space="preserve">        </t>
    </r>
    <r>
      <rPr>
        <sz val="7"/>
        <color rgb="FF141414"/>
        <rFont val="Consolas"/>
        <family val="3"/>
      </rPr>
      <t>/&gt;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</si>
  <si>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select</t>
    </r>
  </si>
  <si>
    <r>
      <t xml:space="preserve">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statusFilter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</si>
  <si>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setStatusFilter</t>
    </r>
    <r>
      <rPr>
        <sz val="7"/>
        <color rgb="FFA46700"/>
        <rFont val="Consolas"/>
        <family val="3"/>
      </rPr>
      <t>(e.target.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</si>
  <si>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"bg-white border border-slate-200 rounded-lg px-4 py-2.5 text-sm text-slate-700 focus:outline-none focus:ring-2 focus:ring-sky-500 shadow-sm"</t>
    </r>
  </si>
  <si>
    <r>
      <t xml:space="preserve">        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</si>
  <si>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uniqueStatuses.</t>
    </r>
    <r>
      <rPr>
        <sz val="7"/>
        <color rgb="FFCD4500"/>
        <rFont val="Consolas"/>
        <family val="3"/>
      </rPr>
      <t>map</t>
    </r>
    <r>
      <rPr>
        <sz val="7"/>
        <color rgb="FFA46700"/>
        <rFont val="Consolas"/>
        <family val="3"/>
      </rPr>
      <t xml:space="preserve">((st)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(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</si>
  <si>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option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key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st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st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st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'Tất cả'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'Tất cả trạng thái'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: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st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option</t>
    </r>
    <r>
      <rPr>
        <sz val="7"/>
        <color rgb="FF141414"/>
        <rFont val="Consolas"/>
        <family val="3"/>
      </rPr>
      <t>&gt;</t>
    </r>
  </si>
  <si>
    <r>
      <t>          ))</t>
    </r>
    <r>
      <rPr>
        <sz val="7"/>
        <color rgb="FF3B7E84"/>
        <rFont val="Consolas"/>
        <family val="3"/>
      </rPr>
      <t>}</t>
    </r>
  </si>
  <si>
    <r>
      <t xml:space="preserve">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select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</si>
  <si>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Bảng Dữ liệu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</si>
  <si>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"bg-white rounded-xl border border-slate-200 overflow-hidden shadow-sm"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</si>
  <si>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table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text-left text-sm text-slate-600"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</si>
  <si>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thead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"bg-slate-100 text-slate-700 font-semibold border-b border-slate-200"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</si>
  <si>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</si>
  <si>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Mã RFQ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</si>
  <si>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Dự án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</si>
  <si>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Nhà cung cấp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</si>
  <si>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Số linh kiện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</si>
  <si>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text-right"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Tổng giá trị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</si>
  <si>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Ngày gửi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</si>
  <si>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Trạng thái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</si>
  <si>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</si>
  <si>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thead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</si>
  <si>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tbody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"divide-y divide-slate-200"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</si>
  <si>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filteredRfq.</t>
    </r>
    <r>
      <rPr>
        <sz val="7"/>
        <color rgb="FF654DC0"/>
        <rFont val="Consolas"/>
        <family val="3"/>
      </rPr>
      <t>length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&gt;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A46700"/>
        <rFont val="Consolas"/>
        <family val="3"/>
      </rPr>
      <t xml:space="preserve"> (</t>
    </r>
  </si>
  <si>
    <r>
      <t>              filteredRfq.</t>
    </r>
    <r>
      <rPr>
        <sz val="7"/>
        <color rgb="FFCD4500"/>
        <rFont val="Consolas"/>
        <family val="3"/>
      </rPr>
      <t>map</t>
    </r>
    <r>
      <rPr>
        <sz val="7"/>
        <color rgb="FFA46700"/>
        <rFont val="Consolas"/>
        <family val="3"/>
      </rPr>
      <t xml:space="preserve">((item)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(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</si>
  <si>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key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id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"hover:bg-slate-50 transition cursor-pointer"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</si>
  <si>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font-bold text-sky-600"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id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</si>
  <si>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font-semibold text-slate-900"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project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</si>
  <si>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text-slate-700"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supplier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</si>
  <si>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 text-slate-700"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itemsCount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</si>
  <si>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text-right font-bold text-slate-800"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amountFormatted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</si>
  <si>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 font-medium text-slate-700"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sentDate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</si>
  <si>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text-center"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</si>
  <si>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7565CC"/>
        <rFont val="Consolas"/>
        <family val="3"/>
      </rPr>
      <t xml:space="preserve">`px-2.5 py-1 rounded-full text-xs font-medium </t>
    </r>
    <r>
      <rPr>
        <sz val="7"/>
        <color rgb="FF141414"/>
        <rFont val="Consolas"/>
        <family val="3"/>
      </rPr>
      <t>${</t>
    </r>
  </si>
  <si>
    <r>
      <t xml:space="preserve">                      </t>
    </r>
    <r>
      <rPr>
        <sz val="7"/>
        <color rgb="FFCD4500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item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status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toLowerCase</t>
    </r>
    <r>
      <rPr>
        <sz val="7"/>
        <color rgb="FF7565CC"/>
        <rFont val="Consolas"/>
        <family val="3"/>
      </rPr>
      <t>().</t>
    </r>
    <r>
      <rPr>
        <sz val="7"/>
        <color rgb="FFCD4500"/>
        <rFont val="Consolas"/>
        <family val="3"/>
      </rPr>
      <t>includes</t>
    </r>
    <r>
      <rPr>
        <sz val="7"/>
        <color rgb="FF7565CC"/>
        <rFont val="Consolas"/>
        <family val="3"/>
      </rPr>
      <t>('thành công')</t>
    </r>
  </si>
  <si>
    <r>
      <t xml:space="preserve">                        </t>
    </r>
    <r>
      <rPr>
        <sz val="7"/>
        <color rgb="FF005293"/>
        <rFont val="Consolas"/>
        <family val="3"/>
      </rPr>
      <t>?</t>
    </r>
    <r>
      <rPr>
        <sz val="7"/>
        <color rgb="FF7565CC"/>
        <rFont val="Consolas"/>
        <family val="3"/>
      </rPr>
      <t xml:space="preserve"> 'bg-emerald-100 text-emerald-700'</t>
    </r>
  </si>
  <si>
    <r>
      <t xml:space="preserve">                        </t>
    </r>
    <r>
      <rPr>
        <sz val="7"/>
        <color rgb="FF005293"/>
        <rFont val="Consolas"/>
        <family val="3"/>
      </rPr>
      <t>:</t>
    </r>
    <r>
      <rPr>
        <sz val="7"/>
        <color rgb="FF7565CC"/>
        <rFont val="Consolas"/>
        <family val="3"/>
      </rPr>
      <t xml:space="preserve"> </t>
    </r>
    <r>
      <rPr>
        <sz val="7"/>
        <color rgb="FFCD4500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item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status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toLowerCase</t>
    </r>
    <r>
      <rPr>
        <sz val="7"/>
        <color rgb="FF7565CC"/>
        <rFont val="Consolas"/>
        <family val="3"/>
      </rPr>
      <t>().</t>
    </r>
    <r>
      <rPr>
        <sz val="7"/>
        <color rgb="FFCD4500"/>
        <rFont val="Consolas"/>
        <family val="3"/>
      </rPr>
      <t>includes</t>
    </r>
    <r>
      <rPr>
        <sz val="7"/>
        <color rgb="FF7565CC"/>
        <rFont val="Consolas"/>
        <family val="3"/>
      </rPr>
      <t>('đã báo giá')</t>
    </r>
  </si>
  <si>
    <r>
      <t xml:space="preserve">                        </t>
    </r>
    <r>
      <rPr>
        <sz val="7"/>
        <color rgb="FF005293"/>
        <rFont val="Consolas"/>
        <family val="3"/>
      </rPr>
      <t>:</t>
    </r>
    <r>
      <rPr>
        <sz val="7"/>
        <color rgb="FF7565CC"/>
        <rFont val="Consolas"/>
        <family val="3"/>
      </rPr>
      <t xml:space="preserve"> </t>
    </r>
    <r>
      <rPr>
        <sz val="7"/>
        <color rgb="FFCD4500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item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status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toLowerCase</t>
    </r>
    <r>
      <rPr>
        <sz val="7"/>
        <color rgb="FF7565CC"/>
        <rFont val="Consolas"/>
        <family val="3"/>
      </rPr>
      <t>().</t>
    </r>
    <r>
      <rPr>
        <sz val="7"/>
        <color rgb="FFCD4500"/>
        <rFont val="Consolas"/>
        <family val="3"/>
      </rPr>
      <t>includes</t>
    </r>
    <r>
      <rPr>
        <sz val="7"/>
        <color rgb="FF7565CC"/>
        <rFont val="Consolas"/>
        <family val="3"/>
      </rPr>
      <t>('ng')</t>
    </r>
  </si>
  <si>
    <r>
      <t xml:space="preserve">                        </t>
    </r>
    <r>
      <rPr>
        <sz val="7"/>
        <color rgb="FF005293"/>
        <rFont val="Consolas"/>
        <family val="3"/>
      </rPr>
      <t>?</t>
    </r>
    <r>
      <rPr>
        <sz val="7"/>
        <color rgb="FF7565CC"/>
        <rFont val="Consolas"/>
        <family val="3"/>
      </rPr>
      <t xml:space="preserve"> 'bg-rose-100 text-rose-700'</t>
    </r>
  </si>
  <si>
    <r>
      <t xml:space="preserve">                        </t>
    </r>
    <r>
      <rPr>
        <sz val="7"/>
        <color rgb="FF005293"/>
        <rFont val="Consolas"/>
        <family val="3"/>
      </rPr>
      <t>:</t>
    </r>
    <r>
      <rPr>
        <sz val="7"/>
        <color rgb="FF7565CC"/>
        <rFont val="Consolas"/>
        <family val="3"/>
      </rPr>
      <t xml:space="preserve"> </t>
    </r>
    <r>
      <rPr>
        <sz val="7"/>
        <color rgb="FFCD4500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item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status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toLowerCase</t>
    </r>
    <r>
      <rPr>
        <sz val="7"/>
        <color rgb="FF7565CC"/>
        <rFont val="Consolas"/>
        <family val="3"/>
      </rPr>
      <t>().</t>
    </r>
    <r>
      <rPr>
        <sz val="7"/>
        <color rgb="FFCD4500"/>
        <rFont val="Consolas"/>
        <family val="3"/>
      </rPr>
      <t>includes</t>
    </r>
    <r>
      <rPr>
        <sz val="7"/>
        <color rgb="FF7565CC"/>
        <rFont val="Consolas"/>
        <family val="3"/>
      </rPr>
      <t>('chuẩn bị')</t>
    </r>
  </si>
  <si>
    <r>
      <t xml:space="preserve">                        </t>
    </r>
    <r>
      <rPr>
        <sz val="7"/>
        <color rgb="FF005293"/>
        <rFont val="Consolas"/>
        <family val="3"/>
      </rPr>
      <t>?</t>
    </r>
    <r>
      <rPr>
        <sz val="7"/>
        <color rgb="FF7565CC"/>
        <rFont val="Consolas"/>
        <family val="3"/>
      </rPr>
      <t xml:space="preserve"> 'bg-amber-100 text-amber-700'</t>
    </r>
  </si>
  <si>
    <r>
      <t xml:space="preserve">                        </t>
    </r>
    <r>
      <rPr>
        <sz val="7"/>
        <color rgb="FF005293"/>
        <rFont val="Consolas"/>
        <family val="3"/>
      </rPr>
      <t>:</t>
    </r>
    <r>
      <rPr>
        <sz val="7"/>
        <color rgb="FF7565CC"/>
        <rFont val="Consolas"/>
        <family val="3"/>
      </rPr>
      <t xml:space="preserve"> 'bg-sky-100 text-sky-700'</t>
    </r>
  </si>
  <si>
    <r>
      <t xml:space="preserve">                    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</si>
  <si>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status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</si>
  <si>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</si>
  <si>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</si>
  <si>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</si>
  <si>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t>              ))</t>
  </si>
  <si>
    <r>
      <t xml:space="preserve">            ) </t>
    </r>
    <r>
      <rPr>
        <sz val="7"/>
        <color rgb="FF005293"/>
        <rFont val="Consolas"/>
        <family val="3"/>
      </rPr>
      <t>:</t>
    </r>
    <r>
      <rPr>
        <sz val="7"/>
        <color rgb="FFA46700"/>
        <rFont val="Consolas"/>
        <family val="3"/>
      </rPr>
      <t xml:space="preserve"> (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</si>
  <si>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</si>
  <si>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colSpan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92156A"/>
        <rFont val="Consolas"/>
        <family val="3"/>
      </rPr>
      <t>7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"p-8 text-center text-slate-400"</t>
    </r>
    <r>
      <rPr>
        <sz val="7"/>
        <color rgb="FF141414"/>
        <rFont val="Consolas"/>
        <family val="3"/>
      </rPr>
      <t>&gt;</t>
    </r>
  </si>
  <si>
    <r>
      <t xml:space="preserve">                  Chưa có dữ liệu RFQ. Vui lòng nhấn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"📥 Nạp File Excel"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 xml:space="preserve"> để tải bảng báo giá lên.</t>
    </r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</si>
  <si>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</si>
  <si>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</si>
  <si>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>            )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</si>
  <si>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tbody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</si>
  <si>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DÒNG TỔNG CỘNG */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</si>
  <si>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filteredRfq</t>
    </r>
    <r>
      <rPr>
        <sz val="7"/>
        <color rgb="FFA46700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&gt;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A46700"/>
        <rFont val="Consolas"/>
        <family val="3"/>
      </rPr>
      <t xml:space="preserve"> (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</si>
  <si>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tfoot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"bg-slate-50 font-bold border-t-2 border-slate-300 text-slate-800"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</si>
  <si>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colSpan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92156A"/>
        <rFont val="Consolas"/>
        <family val="3"/>
      </rPr>
      <t>4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text-right uppercase tracking-wider text-xs text-slate-600"</t>
    </r>
    <r>
      <rPr>
        <sz val="7"/>
        <color rgb="FF141414"/>
        <rFont val="Consolas"/>
        <family val="3"/>
      </rPr>
      <t>&gt;</t>
    </r>
  </si>
  <si>
    <t>                  Tổng cộng:</t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</si>
  <si>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text-right text-base text-emerald-600 font-extrabold"</t>
    </r>
    <r>
      <rPr>
        <sz val="7"/>
        <color rgb="FF141414"/>
        <rFont val="Consolas"/>
        <family val="3"/>
      </rPr>
      <t>&gt;</t>
    </r>
  </si>
  <si>
    <r>
      <t>                  $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totalRfqValue</t>
    </r>
    <r>
      <rPr>
        <sz val="7"/>
        <color rgb="FFA46700"/>
        <rFont val="Consolas"/>
        <family val="3"/>
      </rPr>
      <t>.</t>
    </r>
    <r>
      <rPr>
        <sz val="7"/>
        <color rgb="FFCD4500"/>
        <rFont val="Consolas"/>
        <family val="3"/>
      </rPr>
      <t>toLocaleString</t>
    </r>
    <r>
      <rPr>
        <sz val="7"/>
        <color rgb="FFA46700"/>
        <rFont val="Consolas"/>
        <family val="3"/>
      </rPr>
      <t>(</t>
    </r>
    <r>
      <rPr>
        <sz val="7"/>
        <color rgb="FF7565CC"/>
        <rFont val="Consolas"/>
        <family val="3"/>
      </rPr>
      <t>'en-US'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</si>
  <si>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colSpan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92156A"/>
        <rFont val="Consolas"/>
        <family val="3"/>
      </rPr>
      <t>2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&gt;&lt;/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</si>
  <si>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tfoot</t>
    </r>
    <r>
      <rPr>
        <sz val="7"/>
        <color rgb="FF141414"/>
        <rFont val="Consolas"/>
        <family val="3"/>
      </rPr>
      <t>&gt;</t>
    </r>
  </si>
  <si>
    <r>
      <t>          )</t>
    </r>
    <r>
      <rPr>
        <sz val="7"/>
        <color rgb="FF3B7E84"/>
        <rFont val="Consolas"/>
        <family val="3"/>
      </rPr>
      <t>}</t>
    </r>
  </si>
  <si>
    <r>
      <t xml:space="preserve">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table</t>
    </r>
    <r>
      <rPr>
        <sz val="7"/>
        <color rgb="FF141414"/>
        <rFont val="Consolas"/>
        <family val="3"/>
      </rPr>
      <t>&gt;</t>
    </r>
  </si>
  <si>
    <r>
      <t xml:space="preserve">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</si>
  <si>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t>  );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</si>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</sst>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5" formatCode="dd/mmm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141414"/>
      <name val="Consolas"/>
      <family val="3"/>
    </font>
    <font>
      <sz val="7"/>
      <color rgb="FFA30034"/>
      <name val="Consolas"/>
      <family val="3"/>
    </font>
    <font>
      <sz val="7"/>
      <color rgb="FF005293"/>
      <name val="Consolas"/>
      <family val="3"/>
    </font>
    <font>
      <sz val="7"/>
      <color rgb="FF7565CC"/>
      <name val="Consolas"/>
      <family val="3"/>
    </font>
    <font>
      <sz val="7"/>
      <color rgb="FFCD4500"/>
      <name val="Consolas"/>
      <family val="3"/>
    </font>
    <font>
      <sz val="7"/>
      <color rgb="FF3B7E84"/>
      <name val="Consolas"/>
      <family val="3"/>
    </font>
    <font>
      <i/>
      <sz val="7"/>
      <color rgb="FF141414"/>
      <name val="Consolas"/>
      <family val="3"/>
    </font>
    <font>
      <sz val="7"/>
      <color rgb="FF92156A"/>
      <name val="Consolas"/>
      <family val="3"/>
    </font>
    <font>
      <sz val="7"/>
      <color rgb="FF654DC0"/>
      <name val="Consolas"/>
      <family val="3"/>
    </font>
    <font>
      <sz val="7"/>
      <color rgb="FFAE3C00"/>
      <name val="Consolas"/>
      <family val="3"/>
    </font>
    <font>
      <sz val="7"/>
      <color rgb="FF007041"/>
      <name val="Consolas"/>
      <family val="3"/>
    </font>
    <font>
      <sz val="7"/>
      <color rgb="FFA467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4" fontId="2" fillId="2" borderId="0" xfId="1" applyNumberFormat="1" applyFont="1" applyFill="1"/>
    <xf numFmtId="0" fontId="5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AA48-F562-4E3B-A4C3-1A0388BBC06D}">
  <dimension ref="A1:G9"/>
  <sheetViews>
    <sheetView tabSelected="1" workbookViewId="0">
      <selection activeCell="I20" sqref="I20"/>
    </sheetView>
  </sheetViews>
  <sheetFormatPr defaultRowHeight="14.4" x14ac:dyDescent="0.3"/>
  <cols>
    <col min="1" max="1" width="20.44140625" customWidth="1"/>
    <col min="2" max="2" width="22.6640625" bestFit="1" customWidth="1"/>
    <col min="3" max="3" width="11.88671875" bestFit="1" customWidth="1"/>
    <col min="4" max="4" width="10.109375" bestFit="1" customWidth="1"/>
    <col min="5" max="5" width="11.44140625" style="1" bestFit="1" customWidth="1"/>
    <col min="6" max="6" width="12.109375" style="2" bestFit="1" customWidth="1"/>
    <col min="7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15000</v>
      </c>
      <c r="F2" s="2">
        <v>46051</v>
      </c>
      <c r="G2" t="s">
        <v>11</v>
      </c>
    </row>
    <row r="3" spans="1:7" x14ac:dyDescent="0.3">
      <c r="A3" t="s">
        <v>12</v>
      </c>
      <c r="B3" t="s">
        <v>21</v>
      </c>
      <c r="C3" t="s">
        <v>22</v>
      </c>
      <c r="D3" t="s">
        <v>23</v>
      </c>
      <c r="E3" s="1">
        <f>50000*0.5</f>
        <v>25000</v>
      </c>
      <c r="F3" s="2">
        <v>46085</v>
      </c>
      <c r="G3" t="s">
        <v>18</v>
      </c>
    </row>
    <row r="4" spans="1:7" x14ac:dyDescent="0.3">
      <c r="A4" t="s">
        <v>13</v>
      </c>
      <c r="B4" t="s">
        <v>16</v>
      </c>
      <c r="C4" t="s">
        <v>9</v>
      </c>
      <c r="D4" t="s">
        <v>17</v>
      </c>
      <c r="E4" s="1">
        <f>50000*0.1</f>
        <v>5000</v>
      </c>
      <c r="F4" s="2">
        <v>46120</v>
      </c>
      <c r="G4" t="s">
        <v>18</v>
      </c>
    </row>
    <row r="5" spans="1:7" x14ac:dyDescent="0.3">
      <c r="A5" t="s">
        <v>14</v>
      </c>
      <c r="B5" t="s">
        <v>19</v>
      </c>
      <c r="C5" t="s">
        <v>9</v>
      </c>
      <c r="D5" t="s">
        <v>28</v>
      </c>
      <c r="E5" s="1">
        <f>33*2000</f>
        <v>66000</v>
      </c>
      <c r="F5" s="2">
        <v>46120</v>
      </c>
      <c r="G5" t="s">
        <v>20</v>
      </c>
    </row>
    <row r="6" spans="1:7" x14ac:dyDescent="0.3">
      <c r="A6" t="s">
        <v>15</v>
      </c>
      <c r="B6" t="s">
        <v>26</v>
      </c>
      <c r="C6" t="s">
        <v>27</v>
      </c>
      <c r="D6" t="s">
        <v>28</v>
      </c>
      <c r="E6" s="1">
        <f>12000*1.7</f>
        <v>20400</v>
      </c>
      <c r="F6" s="2">
        <v>46154</v>
      </c>
      <c r="G6" t="s">
        <v>30</v>
      </c>
    </row>
    <row r="7" spans="1:7" x14ac:dyDescent="0.3">
      <c r="A7" t="s">
        <v>24</v>
      </c>
      <c r="B7" t="s">
        <v>29</v>
      </c>
      <c r="C7" t="s">
        <v>27</v>
      </c>
      <c r="D7" t="s">
        <v>28</v>
      </c>
      <c r="E7" s="1">
        <f>2.45*30000</f>
        <v>73500</v>
      </c>
      <c r="F7" s="2">
        <v>46227</v>
      </c>
      <c r="G7" t="s">
        <v>30</v>
      </c>
    </row>
    <row r="8" spans="1:7" x14ac:dyDescent="0.3">
      <c r="A8" t="s">
        <v>25</v>
      </c>
      <c r="B8" t="s">
        <v>31</v>
      </c>
      <c r="C8" t="s">
        <v>22</v>
      </c>
      <c r="D8" t="s">
        <v>32</v>
      </c>
      <c r="E8" s="1">
        <f>100000*1.5</f>
        <v>150000</v>
      </c>
      <c r="F8" s="2">
        <v>46242</v>
      </c>
      <c r="G8" t="s">
        <v>33</v>
      </c>
    </row>
    <row r="9" spans="1:7" x14ac:dyDescent="0.3">
      <c r="E9" s="3">
        <f>SUM(E2:E8)</f>
        <v>354900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4C7F-8848-48C0-86D5-6612AA2B1CCB}">
  <dimension ref="A1:A244"/>
  <sheetViews>
    <sheetView workbookViewId="0">
      <selection sqref="A1:A244"/>
    </sheetView>
  </sheetViews>
  <sheetFormatPr defaultRowHeight="14.4" x14ac:dyDescent="0.3"/>
  <sheetData>
    <row r="1" spans="1:1" x14ac:dyDescent="0.3">
      <c r="A1" s="4" t="s">
        <v>34</v>
      </c>
    </row>
    <row r="2" spans="1:1" x14ac:dyDescent="0.3">
      <c r="A2" s="4" t="s">
        <v>35</v>
      </c>
    </row>
    <row r="3" spans="1:1" x14ac:dyDescent="0.3">
      <c r="A3" s="5"/>
    </row>
    <row r="4" spans="1:1" x14ac:dyDescent="0.3">
      <c r="A4" s="4" t="s">
        <v>36</v>
      </c>
    </row>
    <row r="5" spans="1:1" x14ac:dyDescent="0.3">
      <c r="A5" s="6" t="s">
        <v>37</v>
      </c>
    </row>
    <row r="6" spans="1:1" x14ac:dyDescent="0.3">
      <c r="A6" s="6" t="s">
        <v>38</v>
      </c>
    </row>
    <row r="7" spans="1:1" x14ac:dyDescent="0.3">
      <c r="A7" s="6" t="s">
        <v>39</v>
      </c>
    </row>
    <row r="8" spans="1:1" x14ac:dyDescent="0.3">
      <c r="A8" s="6" t="s">
        <v>40</v>
      </c>
    </row>
    <row r="9" spans="1:1" x14ac:dyDescent="0.3">
      <c r="A9" s="5"/>
    </row>
    <row r="10" spans="1:1" x14ac:dyDescent="0.3">
      <c r="A10" s="6" t="s">
        <v>41</v>
      </c>
    </row>
    <row r="11" spans="1:1" x14ac:dyDescent="0.3">
      <c r="A11" s="6" t="s">
        <v>42</v>
      </c>
    </row>
    <row r="12" spans="1:1" x14ac:dyDescent="0.3">
      <c r="A12" s="5"/>
    </row>
    <row r="13" spans="1:1" x14ac:dyDescent="0.3">
      <c r="A13" s="6" t="s">
        <v>43</v>
      </c>
    </row>
    <row r="14" spans="1:1" x14ac:dyDescent="0.3">
      <c r="A14" s="6" t="s">
        <v>44</v>
      </c>
    </row>
    <row r="15" spans="1:1" x14ac:dyDescent="0.3">
      <c r="A15" s="6" t="s">
        <v>45</v>
      </c>
    </row>
    <row r="16" spans="1:1" x14ac:dyDescent="0.3">
      <c r="A16" s="5"/>
    </row>
    <row r="17" spans="1:1" x14ac:dyDescent="0.3">
      <c r="A17" s="6" t="s">
        <v>46</v>
      </c>
    </row>
    <row r="18" spans="1:1" x14ac:dyDescent="0.3">
      <c r="A18" s="6" t="s">
        <v>47</v>
      </c>
    </row>
    <row r="19" spans="1:1" x14ac:dyDescent="0.3">
      <c r="A19" s="6" t="s">
        <v>48</v>
      </c>
    </row>
    <row r="20" spans="1:1" x14ac:dyDescent="0.3">
      <c r="A20" s="5"/>
    </row>
    <row r="21" spans="1:1" x14ac:dyDescent="0.3">
      <c r="A21" s="6" t="s">
        <v>49</v>
      </c>
    </row>
    <row r="22" spans="1:1" x14ac:dyDescent="0.3">
      <c r="A22" s="5"/>
    </row>
    <row r="23" spans="1:1" x14ac:dyDescent="0.3">
      <c r="A23" s="6" t="s">
        <v>50</v>
      </c>
    </row>
    <row r="24" spans="1:1" x14ac:dyDescent="0.3">
      <c r="A24" s="6" t="s">
        <v>51</v>
      </c>
    </row>
    <row r="25" spans="1:1" x14ac:dyDescent="0.3">
      <c r="A25" s="6" t="s">
        <v>52</v>
      </c>
    </row>
    <row r="26" spans="1:1" x14ac:dyDescent="0.3">
      <c r="A26" s="6" t="s">
        <v>53</v>
      </c>
    </row>
    <row r="27" spans="1:1" x14ac:dyDescent="0.3">
      <c r="A27" s="6" t="s">
        <v>54</v>
      </c>
    </row>
    <row r="28" spans="1:1" x14ac:dyDescent="0.3">
      <c r="A28" s="6" t="s">
        <v>55</v>
      </c>
    </row>
    <row r="29" spans="1:1" x14ac:dyDescent="0.3">
      <c r="A29" s="6" t="s">
        <v>56</v>
      </c>
    </row>
    <row r="30" spans="1:1" x14ac:dyDescent="0.3">
      <c r="A30" s="6" t="s">
        <v>53</v>
      </c>
    </row>
    <row r="31" spans="1:1" x14ac:dyDescent="0.3">
      <c r="A31" s="6" t="s">
        <v>57</v>
      </c>
    </row>
    <row r="32" spans="1:1" x14ac:dyDescent="0.3">
      <c r="A32" s="6" t="s">
        <v>58</v>
      </c>
    </row>
    <row r="33" spans="1:1" x14ac:dyDescent="0.3">
      <c r="A33" s="6" t="s">
        <v>59</v>
      </c>
    </row>
    <row r="34" spans="1:1" x14ac:dyDescent="0.3">
      <c r="A34" s="6" t="s">
        <v>60</v>
      </c>
    </row>
    <row r="35" spans="1:1" x14ac:dyDescent="0.3">
      <c r="A35" s="6" t="s">
        <v>61</v>
      </c>
    </row>
    <row r="36" spans="1:1" x14ac:dyDescent="0.3">
      <c r="A36" s="6" t="s">
        <v>62</v>
      </c>
    </row>
    <row r="37" spans="1:1" x14ac:dyDescent="0.3">
      <c r="A37" s="6" t="s">
        <v>63</v>
      </c>
    </row>
    <row r="38" spans="1:1" x14ac:dyDescent="0.3">
      <c r="A38" s="5"/>
    </row>
    <row r="39" spans="1:1" x14ac:dyDescent="0.3">
      <c r="A39" s="6" t="s">
        <v>64</v>
      </c>
    </row>
    <row r="40" spans="1:1" x14ac:dyDescent="0.3">
      <c r="A40" s="6" t="s">
        <v>65</v>
      </c>
    </row>
    <row r="41" spans="1:1" x14ac:dyDescent="0.3">
      <c r="A41" s="6" t="s">
        <v>66</v>
      </c>
    </row>
    <row r="42" spans="1:1" x14ac:dyDescent="0.3">
      <c r="A42" s="6" t="s">
        <v>67</v>
      </c>
    </row>
    <row r="43" spans="1:1" x14ac:dyDescent="0.3">
      <c r="A43" s="6" t="s">
        <v>68</v>
      </c>
    </row>
    <row r="44" spans="1:1" x14ac:dyDescent="0.3">
      <c r="A44" s="6" t="s">
        <v>69</v>
      </c>
    </row>
    <row r="45" spans="1:1" x14ac:dyDescent="0.3">
      <c r="A45" s="6" t="s">
        <v>70</v>
      </c>
    </row>
    <row r="46" spans="1:1" x14ac:dyDescent="0.3">
      <c r="A46" s="6" t="s">
        <v>63</v>
      </c>
    </row>
    <row r="47" spans="1:1" x14ac:dyDescent="0.3">
      <c r="A47" s="5"/>
    </row>
    <row r="48" spans="1:1" x14ac:dyDescent="0.3">
      <c r="A48" s="6" t="s">
        <v>71</v>
      </c>
    </row>
    <row r="49" spans="1:1" x14ac:dyDescent="0.3">
      <c r="A49" s="6" t="s">
        <v>72</v>
      </c>
    </row>
    <row r="50" spans="1:1" x14ac:dyDescent="0.3">
      <c r="A50" s="5"/>
    </row>
    <row r="51" spans="1:1" x14ac:dyDescent="0.3">
      <c r="A51" s="6" t="s">
        <v>73</v>
      </c>
    </row>
    <row r="52" spans="1:1" x14ac:dyDescent="0.3">
      <c r="A52" s="6" t="s">
        <v>74</v>
      </c>
    </row>
    <row r="53" spans="1:1" x14ac:dyDescent="0.3">
      <c r="A53" s="6" t="s">
        <v>75</v>
      </c>
    </row>
    <row r="54" spans="1:1" x14ac:dyDescent="0.3">
      <c r="A54" s="6" t="s">
        <v>76</v>
      </c>
    </row>
    <row r="55" spans="1:1" x14ac:dyDescent="0.3">
      <c r="A55" s="5"/>
    </row>
    <row r="56" spans="1:1" x14ac:dyDescent="0.3">
      <c r="A56" s="6" t="s">
        <v>77</v>
      </c>
    </row>
    <row r="57" spans="1:1" x14ac:dyDescent="0.3">
      <c r="A57" s="6" t="s">
        <v>78</v>
      </c>
    </row>
    <row r="58" spans="1:1" x14ac:dyDescent="0.3">
      <c r="A58" s="6" t="s">
        <v>79</v>
      </c>
    </row>
    <row r="59" spans="1:1" x14ac:dyDescent="0.3">
      <c r="A59" s="6" t="s">
        <v>80</v>
      </c>
    </row>
    <row r="60" spans="1:1" x14ac:dyDescent="0.3">
      <c r="A60" s="6" t="s">
        <v>81</v>
      </c>
    </row>
    <row r="61" spans="1:1" x14ac:dyDescent="0.3">
      <c r="A61" s="6" t="s">
        <v>82</v>
      </c>
    </row>
    <row r="62" spans="1:1" x14ac:dyDescent="0.3">
      <c r="A62" s="6" t="s">
        <v>83</v>
      </c>
    </row>
    <row r="63" spans="1:1" x14ac:dyDescent="0.3">
      <c r="A63" s="5"/>
    </row>
    <row r="64" spans="1:1" x14ac:dyDescent="0.3">
      <c r="A64" s="6" t="s">
        <v>84</v>
      </c>
    </row>
    <row r="65" spans="1:1" x14ac:dyDescent="0.3">
      <c r="A65" s="6" t="s">
        <v>85</v>
      </c>
    </row>
    <row r="66" spans="1:1" x14ac:dyDescent="0.3">
      <c r="A66" s="6" t="s">
        <v>86</v>
      </c>
    </row>
    <row r="67" spans="1:1" x14ac:dyDescent="0.3">
      <c r="A67" s="6" t="s">
        <v>87</v>
      </c>
    </row>
    <row r="68" spans="1:1" x14ac:dyDescent="0.3">
      <c r="A68" s="6" t="s">
        <v>88</v>
      </c>
    </row>
    <row r="69" spans="1:1" x14ac:dyDescent="0.3">
      <c r="A69" s="6" t="s">
        <v>89</v>
      </c>
    </row>
    <row r="70" spans="1:1" x14ac:dyDescent="0.3">
      <c r="A70" s="6" t="s">
        <v>90</v>
      </c>
    </row>
    <row r="71" spans="1:1" x14ac:dyDescent="0.3">
      <c r="A71" s="6" t="s">
        <v>91</v>
      </c>
    </row>
    <row r="72" spans="1:1" x14ac:dyDescent="0.3">
      <c r="A72" s="6" t="s">
        <v>92</v>
      </c>
    </row>
    <row r="73" spans="1:1" x14ac:dyDescent="0.3">
      <c r="A73" s="6" t="s">
        <v>93</v>
      </c>
    </row>
    <row r="74" spans="1:1" x14ac:dyDescent="0.3">
      <c r="A74" s="6" t="s">
        <v>94</v>
      </c>
    </row>
    <row r="75" spans="1:1" x14ac:dyDescent="0.3">
      <c r="A75" s="6" t="s">
        <v>95</v>
      </c>
    </row>
    <row r="76" spans="1:1" x14ac:dyDescent="0.3">
      <c r="A76" s="6" t="s">
        <v>96</v>
      </c>
    </row>
    <row r="77" spans="1:1" x14ac:dyDescent="0.3">
      <c r="A77" s="6" t="s">
        <v>97</v>
      </c>
    </row>
    <row r="78" spans="1:1" x14ac:dyDescent="0.3">
      <c r="A78" s="5"/>
    </row>
    <row r="79" spans="1:1" x14ac:dyDescent="0.3">
      <c r="A79" s="6" t="s">
        <v>98</v>
      </c>
    </row>
    <row r="80" spans="1:1" x14ac:dyDescent="0.3">
      <c r="A80" s="6" t="s">
        <v>99</v>
      </c>
    </row>
    <row r="81" spans="1:1" x14ac:dyDescent="0.3">
      <c r="A81" s="6" t="s">
        <v>100</v>
      </c>
    </row>
    <row r="82" spans="1:1" x14ac:dyDescent="0.3">
      <c r="A82" s="6" t="s">
        <v>101</v>
      </c>
    </row>
    <row r="83" spans="1:1" x14ac:dyDescent="0.3">
      <c r="A83" s="6" t="s">
        <v>102</v>
      </c>
    </row>
    <row r="84" spans="1:1" x14ac:dyDescent="0.3">
      <c r="A84" s="6" t="s">
        <v>103</v>
      </c>
    </row>
    <row r="85" spans="1:1" x14ac:dyDescent="0.3">
      <c r="A85" s="6" t="s">
        <v>104</v>
      </c>
    </row>
    <row r="86" spans="1:1" x14ac:dyDescent="0.3">
      <c r="A86" s="6" t="s">
        <v>105</v>
      </c>
    </row>
    <row r="87" spans="1:1" x14ac:dyDescent="0.3">
      <c r="A87" s="6" t="s">
        <v>106</v>
      </c>
    </row>
    <row r="88" spans="1:1" x14ac:dyDescent="0.3">
      <c r="A88" s="6" t="s">
        <v>107</v>
      </c>
    </row>
    <row r="89" spans="1:1" x14ac:dyDescent="0.3">
      <c r="A89" s="5"/>
    </row>
    <row r="90" spans="1:1" x14ac:dyDescent="0.3">
      <c r="A90" s="6" t="s">
        <v>108</v>
      </c>
    </row>
    <row r="91" spans="1:1" x14ac:dyDescent="0.3">
      <c r="A91" s="6" t="s">
        <v>109</v>
      </c>
    </row>
    <row r="92" spans="1:1" x14ac:dyDescent="0.3">
      <c r="A92" s="6" t="s">
        <v>110</v>
      </c>
    </row>
    <row r="93" spans="1:1" x14ac:dyDescent="0.3">
      <c r="A93" s="6" t="s">
        <v>111</v>
      </c>
    </row>
    <row r="94" spans="1:1" x14ac:dyDescent="0.3">
      <c r="A94" s="6" t="s">
        <v>112</v>
      </c>
    </row>
    <row r="95" spans="1:1" x14ac:dyDescent="0.3">
      <c r="A95" s="6" t="s">
        <v>107</v>
      </c>
    </row>
    <row r="96" spans="1:1" x14ac:dyDescent="0.3">
      <c r="A96" s="5"/>
    </row>
    <row r="97" spans="1:1" x14ac:dyDescent="0.3">
      <c r="A97" s="6" t="s">
        <v>113</v>
      </c>
    </row>
    <row r="98" spans="1:1" x14ac:dyDescent="0.3">
      <c r="A98" s="5"/>
    </row>
    <row r="99" spans="1:1" x14ac:dyDescent="0.3">
      <c r="A99" s="6" t="s">
        <v>114</v>
      </c>
    </row>
    <row r="100" spans="1:1" x14ac:dyDescent="0.3">
      <c r="A100" s="6" t="s">
        <v>115</v>
      </c>
    </row>
    <row r="101" spans="1:1" x14ac:dyDescent="0.3">
      <c r="A101" s="6" t="s">
        <v>116</v>
      </c>
    </row>
    <row r="102" spans="1:1" x14ac:dyDescent="0.3">
      <c r="A102" s="6" t="s">
        <v>117</v>
      </c>
    </row>
    <row r="103" spans="1:1" x14ac:dyDescent="0.3">
      <c r="A103" s="6" t="s">
        <v>118</v>
      </c>
    </row>
    <row r="104" spans="1:1" x14ac:dyDescent="0.3">
      <c r="A104" s="6" t="s">
        <v>119</v>
      </c>
    </row>
    <row r="105" spans="1:1" x14ac:dyDescent="0.3">
      <c r="A105" s="6" t="s">
        <v>120</v>
      </c>
    </row>
    <row r="106" spans="1:1" x14ac:dyDescent="0.3">
      <c r="A106" s="6" t="s">
        <v>121</v>
      </c>
    </row>
    <row r="107" spans="1:1" x14ac:dyDescent="0.3">
      <c r="A107" s="6" t="s">
        <v>122</v>
      </c>
    </row>
    <row r="108" spans="1:1" x14ac:dyDescent="0.3">
      <c r="A108" s="6" t="s">
        <v>97</v>
      </c>
    </row>
    <row r="109" spans="1:1" x14ac:dyDescent="0.3">
      <c r="A109" s="6" t="s">
        <v>123</v>
      </c>
    </row>
    <row r="110" spans="1:1" x14ac:dyDescent="0.3">
      <c r="A110" s="5"/>
    </row>
    <row r="111" spans="1:1" x14ac:dyDescent="0.3">
      <c r="A111" s="6" t="s">
        <v>124</v>
      </c>
    </row>
    <row r="112" spans="1:1" x14ac:dyDescent="0.3">
      <c r="A112" s="6" t="s">
        <v>125</v>
      </c>
    </row>
    <row r="113" spans="1:1" x14ac:dyDescent="0.3">
      <c r="A113" s="6" t="s">
        <v>126</v>
      </c>
    </row>
    <row r="114" spans="1:1" x14ac:dyDescent="0.3">
      <c r="A114" s="6" t="s">
        <v>127</v>
      </c>
    </row>
    <row r="115" spans="1:1" x14ac:dyDescent="0.3">
      <c r="A115" s="6" t="s">
        <v>72</v>
      </c>
    </row>
    <row r="116" spans="1:1" x14ac:dyDescent="0.3">
      <c r="A116" s="5"/>
    </row>
    <row r="117" spans="1:1" x14ac:dyDescent="0.3">
      <c r="A117" s="6" t="s">
        <v>128</v>
      </c>
    </row>
    <row r="118" spans="1:1" x14ac:dyDescent="0.3">
      <c r="A118" s="6" t="s">
        <v>129</v>
      </c>
    </row>
    <row r="119" spans="1:1" x14ac:dyDescent="0.3">
      <c r="A119" s="6" t="s">
        <v>130</v>
      </c>
    </row>
    <row r="120" spans="1:1" x14ac:dyDescent="0.3">
      <c r="A120" s="6" t="s">
        <v>131</v>
      </c>
    </row>
    <row r="121" spans="1:1" x14ac:dyDescent="0.3">
      <c r="A121" s="6" t="s">
        <v>132</v>
      </c>
    </row>
    <row r="122" spans="1:1" x14ac:dyDescent="0.3">
      <c r="A122" s="6" t="s">
        <v>133</v>
      </c>
    </row>
    <row r="123" spans="1:1" x14ac:dyDescent="0.3">
      <c r="A123" s="6" t="s">
        <v>134</v>
      </c>
    </row>
    <row r="124" spans="1:1" x14ac:dyDescent="0.3">
      <c r="A124" s="6" t="s">
        <v>135</v>
      </c>
    </row>
    <row r="125" spans="1:1" x14ac:dyDescent="0.3">
      <c r="A125" s="6" t="s">
        <v>136</v>
      </c>
    </row>
    <row r="126" spans="1:1" x14ac:dyDescent="0.3">
      <c r="A126" s="6" t="s">
        <v>40</v>
      </c>
    </row>
    <row r="127" spans="1:1" x14ac:dyDescent="0.3">
      <c r="A127" s="5"/>
    </row>
    <row r="128" spans="1:1" x14ac:dyDescent="0.3">
      <c r="A128" s="6" t="s">
        <v>137</v>
      </c>
    </row>
    <row r="129" spans="1:1" x14ac:dyDescent="0.3">
      <c r="A129" s="6" t="s">
        <v>138</v>
      </c>
    </row>
    <row r="130" spans="1:1" x14ac:dyDescent="0.3">
      <c r="A130" s="5"/>
    </row>
    <row r="131" spans="1:1" x14ac:dyDescent="0.3">
      <c r="A131" s="6" t="s">
        <v>139</v>
      </c>
    </row>
    <row r="132" spans="1:1" x14ac:dyDescent="0.3">
      <c r="A132" s="6" t="s">
        <v>140</v>
      </c>
    </row>
    <row r="133" spans="1:1" x14ac:dyDescent="0.3">
      <c r="A133" s="7" t="s">
        <v>141</v>
      </c>
    </row>
    <row r="134" spans="1:1" x14ac:dyDescent="0.3">
      <c r="A134" s="7" t="s">
        <v>142</v>
      </c>
    </row>
    <row r="135" spans="1:1" x14ac:dyDescent="0.3">
      <c r="A135" s="7" t="s">
        <v>143</v>
      </c>
    </row>
    <row r="136" spans="1:1" x14ac:dyDescent="0.3">
      <c r="A136" s="7" t="s">
        <v>144</v>
      </c>
    </row>
    <row r="137" spans="1:1" x14ac:dyDescent="0.3">
      <c r="A137" s="7" t="s">
        <v>145</v>
      </c>
    </row>
    <row r="138" spans="1:1" x14ac:dyDescent="0.3">
      <c r="A138" s="7" t="s">
        <v>146</v>
      </c>
    </row>
    <row r="139" spans="1:1" x14ac:dyDescent="0.3">
      <c r="A139" s="5"/>
    </row>
    <row r="140" spans="1:1" x14ac:dyDescent="0.3">
      <c r="A140" s="7" t="s">
        <v>147</v>
      </c>
    </row>
    <row r="141" spans="1:1" x14ac:dyDescent="0.3">
      <c r="A141" s="7" t="s">
        <v>148</v>
      </c>
    </row>
    <row r="142" spans="1:1" x14ac:dyDescent="0.3">
      <c r="A142" s="7" t="s">
        <v>149</v>
      </c>
    </row>
    <row r="143" spans="1:1" x14ac:dyDescent="0.3">
      <c r="A143" s="7" t="s">
        <v>150</v>
      </c>
    </row>
    <row r="144" spans="1:1" x14ac:dyDescent="0.3">
      <c r="A144" s="7" t="s">
        <v>151</v>
      </c>
    </row>
    <row r="145" spans="1:1" x14ac:dyDescent="0.3">
      <c r="A145" s="7" t="s">
        <v>152</v>
      </c>
    </row>
    <row r="146" spans="1:1" x14ac:dyDescent="0.3">
      <c r="A146" s="7" t="s">
        <v>153</v>
      </c>
    </row>
    <row r="147" spans="1:1" x14ac:dyDescent="0.3">
      <c r="A147" s="7" t="s">
        <v>154</v>
      </c>
    </row>
    <row r="148" spans="1:1" x14ac:dyDescent="0.3">
      <c r="A148" s="7" t="s">
        <v>155</v>
      </c>
    </row>
    <row r="149" spans="1:1" x14ac:dyDescent="0.3">
      <c r="A149" s="7" t="s">
        <v>156</v>
      </c>
    </row>
    <row r="150" spans="1:1" x14ac:dyDescent="0.3">
      <c r="A150" s="7" t="s">
        <v>157</v>
      </c>
    </row>
    <row r="151" spans="1:1" x14ac:dyDescent="0.3">
      <c r="A151" s="7" t="s">
        <v>158</v>
      </c>
    </row>
    <row r="152" spans="1:1" x14ac:dyDescent="0.3">
      <c r="A152" s="7" t="s">
        <v>159</v>
      </c>
    </row>
    <row r="153" spans="1:1" x14ac:dyDescent="0.3">
      <c r="A153" s="7" t="s">
        <v>146</v>
      </c>
    </row>
    <row r="154" spans="1:1" x14ac:dyDescent="0.3">
      <c r="A154" s="7" t="s">
        <v>160</v>
      </c>
    </row>
    <row r="155" spans="1:1" x14ac:dyDescent="0.3">
      <c r="A155" s="5"/>
    </row>
    <row r="156" spans="1:1" x14ac:dyDescent="0.3">
      <c r="A156" s="7" t="s">
        <v>161</v>
      </c>
    </row>
    <row r="157" spans="1:1" x14ac:dyDescent="0.3">
      <c r="A157" s="7" t="s">
        <v>162</v>
      </c>
    </row>
    <row r="158" spans="1:1" x14ac:dyDescent="0.3">
      <c r="A158" s="7" t="s">
        <v>163</v>
      </c>
    </row>
    <row r="159" spans="1:1" x14ac:dyDescent="0.3">
      <c r="A159" s="7" t="s">
        <v>164</v>
      </c>
    </row>
    <row r="160" spans="1:1" x14ac:dyDescent="0.3">
      <c r="A160" s="7" t="s">
        <v>165</v>
      </c>
    </row>
    <row r="161" spans="1:1" x14ac:dyDescent="0.3">
      <c r="A161" s="7" t="s">
        <v>166</v>
      </c>
    </row>
    <row r="162" spans="1:1" x14ac:dyDescent="0.3">
      <c r="A162" s="7" t="s">
        <v>167</v>
      </c>
    </row>
    <row r="163" spans="1:1" x14ac:dyDescent="0.3">
      <c r="A163" s="7" t="s">
        <v>168</v>
      </c>
    </row>
    <row r="164" spans="1:1" x14ac:dyDescent="0.3">
      <c r="A164" s="7" t="s">
        <v>169</v>
      </c>
    </row>
    <row r="165" spans="1:1" x14ac:dyDescent="0.3">
      <c r="A165" s="7" t="s">
        <v>170</v>
      </c>
    </row>
    <row r="166" spans="1:1" x14ac:dyDescent="0.3">
      <c r="A166" s="7" t="s">
        <v>171</v>
      </c>
    </row>
    <row r="167" spans="1:1" x14ac:dyDescent="0.3">
      <c r="A167" s="7" t="s">
        <v>172</v>
      </c>
    </row>
    <row r="168" spans="1:1" x14ac:dyDescent="0.3">
      <c r="A168" s="7" t="s">
        <v>173</v>
      </c>
    </row>
    <row r="169" spans="1:1" x14ac:dyDescent="0.3">
      <c r="A169" s="7" t="s">
        <v>174</v>
      </c>
    </row>
    <row r="170" spans="1:1" x14ac:dyDescent="0.3">
      <c r="A170" s="7" t="s">
        <v>175</v>
      </c>
    </row>
    <row r="171" spans="1:1" x14ac:dyDescent="0.3">
      <c r="A171" s="7" t="s">
        <v>176</v>
      </c>
    </row>
    <row r="172" spans="1:1" x14ac:dyDescent="0.3">
      <c r="A172" s="7" t="s">
        <v>177</v>
      </c>
    </row>
    <row r="173" spans="1:1" x14ac:dyDescent="0.3">
      <c r="A173" s="7" t="s">
        <v>178</v>
      </c>
    </row>
    <row r="174" spans="1:1" x14ac:dyDescent="0.3">
      <c r="A174" s="7" t="s">
        <v>160</v>
      </c>
    </row>
    <row r="175" spans="1:1" x14ac:dyDescent="0.3">
      <c r="A175" s="5"/>
    </row>
    <row r="176" spans="1:1" x14ac:dyDescent="0.3">
      <c r="A176" s="7" t="s">
        <v>179</v>
      </c>
    </row>
    <row r="177" spans="1:1" x14ac:dyDescent="0.3">
      <c r="A177" s="7" t="s">
        <v>180</v>
      </c>
    </row>
    <row r="178" spans="1:1" x14ac:dyDescent="0.3">
      <c r="A178" s="7" t="s">
        <v>181</v>
      </c>
    </row>
    <row r="179" spans="1:1" x14ac:dyDescent="0.3">
      <c r="A179" s="7" t="s">
        <v>182</v>
      </c>
    </row>
    <row r="180" spans="1:1" x14ac:dyDescent="0.3">
      <c r="A180" s="7" t="s">
        <v>183</v>
      </c>
    </row>
    <row r="181" spans="1:1" x14ac:dyDescent="0.3">
      <c r="A181" s="7" t="s">
        <v>184</v>
      </c>
    </row>
    <row r="182" spans="1:1" x14ac:dyDescent="0.3">
      <c r="A182" s="7" t="s">
        <v>185</v>
      </c>
    </row>
    <row r="183" spans="1:1" x14ac:dyDescent="0.3">
      <c r="A183" s="7" t="s">
        <v>186</v>
      </c>
    </row>
    <row r="184" spans="1:1" x14ac:dyDescent="0.3">
      <c r="A184" s="7" t="s">
        <v>187</v>
      </c>
    </row>
    <row r="185" spans="1:1" x14ac:dyDescent="0.3">
      <c r="A185" s="7" t="s">
        <v>188</v>
      </c>
    </row>
    <row r="186" spans="1:1" x14ac:dyDescent="0.3">
      <c r="A186" s="7" t="s">
        <v>189</v>
      </c>
    </row>
    <row r="187" spans="1:1" x14ac:dyDescent="0.3">
      <c r="A187" s="7" t="s">
        <v>190</v>
      </c>
    </row>
    <row r="188" spans="1:1" x14ac:dyDescent="0.3">
      <c r="A188" s="7" t="s">
        <v>191</v>
      </c>
    </row>
    <row r="189" spans="1:1" x14ac:dyDescent="0.3">
      <c r="A189" s="7" t="s">
        <v>192</v>
      </c>
    </row>
    <row r="190" spans="1:1" x14ac:dyDescent="0.3">
      <c r="A190" s="7" t="s">
        <v>193</v>
      </c>
    </row>
    <row r="191" spans="1:1" x14ac:dyDescent="0.3">
      <c r="A191" s="7" t="s">
        <v>194</v>
      </c>
    </row>
    <row r="192" spans="1:1" x14ac:dyDescent="0.3">
      <c r="A192" s="7" t="s">
        <v>195</v>
      </c>
    </row>
    <row r="193" spans="1:1" x14ac:dyDescent="0.3">
      <c r="A193" s="7" t="s">
        <v>196</v>
      </c>
    </row>
    <row r="194" spans="1:1" x14ac:dyDescent="0.3">
      <c r="A194" s="7" t="s">
        <v>197</v>
      </c>
    </row>
    <row r="195" spans="1:1" x14ac:dyDescent="0.3">
      <c r="A195" s="7" t="s">
        <v>198</v>
      </c>
    </row>
    <row r="196" spans="1:1" x14ac:dyDescent="0.3">
      <c r="A196" s="7" t="s">
        <v>199</v>
      </c>
    </row>
    <row r="197" spans="1:1" x14ac:dyDescent="0.3">
      <c r="A197" s="7" t="s">
        <v>200</v>
      </c>
    </row>
    <row r="198" spans="1:1" x14ac:dyDescent="0.3">
      <c r="A198" s="7" t="s">
        <v>201</v>
      </c>
    </row>
    <row r="199" spans="1:1" x14ac:dyDescent="0.3">
      <c r="A199" s="7" t="s">
        <v>202</v>
      </c>
    </row>
    <row r="200" spans="1:1" x14ac:dyDescent="0.3">
      <c r="A200" s="7" t="s">
        <v>203</v>
      </c>
    </row>
    <row r="201" spans="1:1" x14ac:dyDescent="0.3">
      <c r="A201" s="7" t="s">
        <v>204</v>
      </c>
    </row>
    <row r="202" spans="1:1" x14ac:dyDescent="0.3">
      <c r="A202" s="8" t="s">
        <v>205</v>
      </c>
    </row>
    <row r="203" spans="1:1" x14ac:dyDescent="0.3">
      <c r="A203" s="8" t="s">
        <v>206</v>
      </c>
    </row>
    <row r="204" spans="1:1" x14ac:dyDescent="0.3">
      <c r="A204" s="8" t="s">
        <v>207</v>
      </c>
    </row>
    <row r="205" spans="1:1" x14ac:dyDescent="0.3">
      <c r="A205" s="8" t="s">
        <v>206</v>
      </c>
    </row>
    <row r="206" spans="1:1" x14ac:dyDescent="0.3">
      <c r="A206" s="8" t="s">
        <v>208</v>
      </c>
    </row>
    <row r="207" spans="1:1" x14ac:dyDescent="0.3">
      <c r="A207" s="8" t="s">
        <v>209</v>
      </c>
    </row>
    <row r="208" spans="1:1" x14ac:dyDescent="0.3">
      <c r="A208" s="8" t="s">
        <v>210</v>
      </c>
    </row>
    <row r="209" spans="1:1" x14ac:dyDescent="0.3">
      <c r="A209" s="8" t="s">
        <v>211</v>
      </c>
    </row>
    <row r="210" spans="1:1" x14ac:dyDescent="0.3">
      <c r="A210" s="8" t="s">
        <v>212</v>
      </c>
    </row>
    <row r="211" spans="1:1" x14ac:dyDescent="0.3">
      <c r="A211" s="8" t="s">
        <v>213</v>
      </c>
    </row>
    <row r="212" spans="1:1" x14ac:dyDescent="0.3">
      <c r="A212" s="7" t="s">
        <v>214</v>
      </c>
    </row>
    <row r="213" spans="1:1" x14ac:dyDescent="0.3">
      <c r="A213" s="7" t="s">
        <v>215</v>
      </c>
    </row>
    <row r="214" spans="1:1" x14ac:dyDescent="0.3">
      <c r="A214" s="7" t="s">
        <v>216</v>
      </c>
    </row>
    <row r="215" spans="1:1" x14ac:dyDescent="0.3">
      <c r="A215" s="7" t="s">
        <v>217</v>
      </c>
    </row>
    <row r="216" spans="1:1" x14ac:dyDescent="0.3">
      <c r="A216" s="7" t="s">
        <v>218</v>
      </c>
    </row>
    <row r="217" spans="1:1" x14ac:dyDescent="0.3">
      <c r="A217" s="7" t="s">
        <v>219</v>
      </c>
    </row>
    <row r="218" spans="1:1" x14ac:dyDescent="0.3">
      <c r="A218" s="7" t="s">
        <v>220</v>
      </c>
    </row>
    <row r="219" spans="1:1" x14ac:dyDescent="0.3">
      <c r="A219" s="7" t="s">
        <v>221</v>
      </c>
    </row>
    <row r="220" spans="1:1" x14ac:dyDescent="0.3">
      <c r="A220" s="7" t="s">
        <v>222</v>
      </c>
    </row>
    <row r="221" spans="1:1" x14ac:dyDescent="0.3">
      <c r="A221" s="7" t="s">
        <v>223</v>
      </c>
    </row>
    <row r="222" spans="1:1" x14ac:dyDescent="0.3">
      <c r="A222" s="7" t="s">
        <v>224</v>
      </c>
    </row>
    <row r="223" spans="1:1" x14ac:dyDescent="0.3">
      <c r="A223" s="7" t="s">
        <v>225</v>
      </c>
    </row>
    <row r="224" spans="1:1" x14ac:dyDescent="0.3">
      <c r="A224" s="7" t="s">
        <v>226</v>
      </c>
    </row>
    <row r="225" spans="1:1" x14ac:dyDescent="0.3">
      <c r="A225" s="5"/>
    </row>
    <row r="226" spans="1:1" x14ac:dyDescent="0.3">
      <c r="A226" s="7" t="s">
        <v>227</v>
      </c>
    </row>
    <row r="227" spans="1:1" x14ac:dyDescent="0.3">
      <c r="A227" s="7" t="s">
        <v>228</v>
      </c>
    </row>
    <row r="228" spans="1:1" x14ac:dyDescent="0.3">
      <c r="A228" s="7" t="s">
        <v>229</v>
      </c>
    </row>
    <row r="229" spans="1:1" x14ac:dyDescent="0.3">
      <c r="A229" s="7" t="s">
        <v>220</v>
      </c>
    </row>
    <row r="230" spans="1:1" x14ac:dyDescent="0.3">
      <c r="A230" s="7" t="s">
        <v>230</v>
      </c>
    </row>
    <row r="231" spans="1:1" x14ac:dyDescent="0.3">
      <c r="A231" s="7" t="s">
        <v>231</v>
      </c>
    </row>
    <row r="232" spans="1:1" x14ac:dyDescent="0.3">
      <c r="A232" s="7" t="s">
        <v>223</v>
      </c>
    </row>
    <row r="233" spans="1:1" x14ac:dyDescent="0.3">
      <c r="A233" s="7" t="s">
        <v>232</v>
      </c>
    </row>
    <row r="234" spans="1:1" x14ac:dyDescent="0.3">
      <c r="A234" s="7" t="s">
        <v>233</v>
      </c>
    </row>
    <row r="235" spans="1:1" x14ac:dyDescent="0.3">
      <c r="A235" s="7" t="s">
        <v>223</v>
      </c>
    </row>
    <row r="236" spans="1:1" x14ac:dyDescent="0.3">
      <c r="A236" s="7" t="s">
        <v>234</v>
      </c>
    </row>
    <row r="237" spans="1:1" x14ac:dyDescent="0.3">
      <c r="A237" s="7" t="s">
        <v>224</v>
      </c>
    </row>
    <row r="238" spans="1:1" x14ac:dyDescent="0.3">
      <c r="A238" s="7" t="s">
        <v>235</v>
      </c>
    </row>
    <row r="239" spans="1:1" x14ac:dyDescent="0.3">
      <c r="A239" s="7" t="s">
        <v>236</v>
      </c>
    </row>
    <row r="240" spans="1:1" x14ac:dyDescent="0.3">
      <c r="A240" s="7" t="s">
        <v>237</v>
      </c>
    </row>
    <row r="241" spans="1:1" x14ac:dyDescent="0.3">
      <c r="A241" s="7" t="s">
        <v>160</v>
      </c>
    </row>
    <row r="242" spans="1:1" x14ac:dyDescent="0.3">
      <c r="A242" s="7" t="s">
        <v>238</v>
      </c>
    </row>
    <row r="243" spans="1:1" x14ac:dyDescent="0.3">
      <c r="A243" s="6" t="s">
        <v>239</v>
      </c>
    </row>
    <row r="244" spans="1:1" x14ac:dyDescent="0.3">
      <c r="A244" s="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SJIT VINA COMPANY SJIT VINA COMPANY</dc:creator>
  <cp:lastModifiedBy>SJIT VINA COMPANY SJIT VINA COMPANY</cp:lastModifiedBy>
  <dcterms:created xsi:type="dcterms:W3CDTF">2026-08-09T02:24:22Z</dcterms:created>
  <dcterms:modified xsi:type="dcterms:W3CDTF">2026-08-10T09:25:06Z</dcterms:modified>
</cp:coreProperties>
</file>